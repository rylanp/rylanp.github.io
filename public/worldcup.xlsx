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ylanpaul/Downloads/"/>
    </mc:Choice>
  </mc:AlternateContent>
  <xr:revisionPtr revIDLastSave="0" documentId="13_ncr:1_{6D9BE58A-1EB0-544F-AA37-CD1BAFF9E9ED}" xr6:coauthVersionLast="47" xr6:coauthVersionMax="47" xr10:uidLastSave="{00000000-0000-0000-0000-000000000000}"/>
  <bookViews>
    <workbookView xWindow="0" yWindow="660" windowWidth="34560" windowHeight="21680" activeTab="1" xr2:uid="{00000000-000D-0000-FFFF-FFFF00000000}"/>
  </bookViews>
  <sheets>
    <sheet name="T" sheetId="1" state="hidden" r:id="rId1"/>
    <sheet name="Survivor" sheetId="5" r:id="rId2"/>
    <sheet name="Rounds" sheetId="6" r:id="rId3"/>
    <sheet name="2026 World Cup" sheetId="3" r:id="rId4"/>
    <sheet name="AllTeams" sheetId="7" r:id="rId5"/>
    <sheet name="3rd places" sheetId="4" r:id="rId6"/>
    <sheet name="Settings" sheetId="2" r:id="rId7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8" i="5" l="1" a="1"/>
  <c r="AG8" i="5" s="1"/>
  <c r="AF8" i="5"/>
  <c r="AF8" i="5" a="1"/>
  <c r="AE8" i="5"/>
  <c r="AE8" i="5" a="1"/>
  <c r="AG7" i="5" a="1"/>
  <c r="AG7" i="5" s="1"/>
  <c r="AF7" i="5" a="1"/>
  <c r="AF7" i="5" s="1"/>
  <c r="AE7" i="5" a="1"/>
  <c r="AE7" i="5" s="1"/>
  <c r="AG6" i="5" a="1"/>
  <c r="AG6" i="5" s="1"/>
  <c r="AF6" i="5"/>
  <c r="AF6" i="5" a="1"/>
  <c r="AE6" i="5" a="1"/>
  <c r="AE6" i="5" s="1"/>
  <c r="AG5" i="5" a="1"/>
  <c r="AG5" i="5" s="1"/>
  <c r="AF5" i="5" a="1"/>
  <c r="AF5" i="5" s="1"/>
  <c r="AE5" i="5" a="1"/>
  <c r="AE5" i="5" s="1"/>
  <c r="AG4" i="5" a="1"/>
  <c r="AG4" i="5" s="1"/>
  <c r="AF4" i="5"/>
  <c r="AF4" i="5" a="1"/>
  <c r="AE4" i="5" a="1"/>
  <c r="AE4" i="5" s="1"/>
  <c r="AG3" i="5" a="1"/>
  <c r="AG3" i="5" s="1"/>
  <c r="AF3" i="5" a="1"/>
  <c r="AF3" i="5" s="1"/>
  <c r="AE3" i="5" a="1"/>
  <c r="AE3" i="5" s="1"/>
  <c r="AC8" i="5"/>
  <c r="AB8" i="5"/>
  <c r="AA8" i="5"/>
  <c r="AC7" i="5"/>
  <c r="AB7" i="5"/>
  <c r="AA7" i="5"/>
  <c r="AC6" i="5"/>
  <c r="AB6" i="5"/>
  <c r="AA6" i="5"/>
  <c r="AC5" i="5"/>
  <c r="AB5" i="5"/>
  <c r="AA5" i="5"/>
  <c r="AC4" i="5"/>
  <c r="AB4" i="5"/>
  <c r="AA4" i="5"/>
  <c r="AC3" i="5"/>
  <c r="AB3" i="5"/>
  <c r="AA3" i="5"/>
  <c r="Y8" i="5"/>
  <c r="X8" i="5"/>
  <c r="W8" i="5"/>
  <c r="Y7" i="5"/>
  <c r="X7" i="5"/>
  <c r="W7" i="5"/>
  <c r="Y6" i="5"/>
  <c r="X6" i="5"/>
  <c r="W6" i="5"/>
  <c r="Y5" i="5"/>
  <c r="X5" i="5"/>
  <c r="W5" i="5"/>
  <c r="Y4" i="5"/>
  <c r="X4" i="5"/>
  <c r="W4" i="5"/>
  <c r="Y3" i="5"/>
  <c r="X3" i="5"/>
  <c r="W3" i="5"/>
  <c r="U8" i="5"/>
  <c r="T8" i="5"/>
  <c r="S8" i="5"/>
  <c r="U7" i="5"/>
  <c r="T7" i="5"/>
  <c r="S7" i="5"/>
  <c r="U6" i="5"/>
  <c r="T6" i="5"/>
  <c r="S6" i="5"/>
  <c r="U5" i="5"/>
  <c r="T5" i="5"/>
  <c r="S5" i="5"/>
  <c r="U4" i="5"/>
  <c r="T4" i="5"/>
  <c r="S4" i="5"/>
  <c r="U3" i="5"/>
  <c r="T3" i="5"/>
  <c r="S3" i="5"/>
  <c r="O4" i="5"/>
  <c r="P4" i="5"/>
  <c r="Q4" i="5"/>
  <c r="O5" i="5"/>
  <c r="P5" i="5"/>
  <c r="Q5" i="5"/>
  <c r="O6" i="5"/>
  <c r="P6" i="5"/>
  <c r="Q6" i="5"/>
  <c r="O7" i="5"/>
  <c r="P7" i="5"/>
  <c r="Q7" i="5"/>
  <c r="O8" i="5"/>
  <c r="P8" i="5"/>
  <c r="Q8" i="5"/>
  <c r="Q3" i="5"/>
  <c r="P3" i="5"/>
  <c r="O3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I8" i="5"/>
  <c r="H8" i="5"/>
  <c r="G8" i="5"/>
  <c r="I7" i="5"/>
  <c r="H7" i="5"/>
  <c r="G7" i="5"/>
  <c r="I6" i="5"/>
  <c r="H6" i="5"/>
  <c r="G6" i="5"/>
  <c r="I5" i="5"/>
  <c r="H5" i="5"/>
  <c r="G5" i="5"/>
  <c r="I4" i="5"/>
  <c r="H4" i="5"/>
  <c r="G4" i="5"/>
  <c r="I3" i="5"/>
  <c r="H3" i="5"/>
  <c r="G3" i="5"/>
  <c r="C4" i="5"/>
  <c r="D4" i="5"/>
  <c r="E4" i="5"/>
  <c r="C5" i="5"/>
  <c r="D5" i="5"/>
  <c r="E5" i="5"/>
  <c r="C6" i="5"/>
  <c r="D6" i="5"/>
  <c r="E6" i="5"/>
  <c r="C7" i="5"/>
  <c r="D7" i="5"/>
  <c r="E7" i="5"/>
  <c r="C8" i="5"/>
  <c r="D8" i="5"/>
  <c r="E8" i="5"/>
  <c r="E3" i="5"/>
  <c r="D3" i="5"/>
  <c r="C3" i="5"/>
  <c r="AE2" i="6"/>
  <c r="AD2" i="6"/>
  <c r="AA3" i="6"/>
  <c r="AA2" i="6"/>
  <c r="Z2" i="6"/>
  <c r="Z3" i="6"/>
  <c r="W5" i="6"/>
  <c r="W4" i="6"/>
  <c r="W3" i="6"/>
  <c r="W2" i="6"/>
  <c r="V5" i="6"/>
  <c r="V4" i="6"/>
  <c r="V3" i="6"/>
  <c r="V2" i="6"/>
  <c r="S9" i="6"/>
  <c r="S8" i="6"/>
  <c r="S7" i="6"/>
  <c r="S6" i="6"/>
  <c r="S5" i="6"/>
  <c r="S4" i="6"/>
  <c r="S3" i="6"/>
  <c r="S2" i="6"/>
  <c r="R8" i="6"/>
  <c r="R7" i="6"/>
  <c r="R6" i="6"/>
  <c r="R5" i="6"/>
  <c r="R4" i="6"/>
  <c r="R3" i="6"/>
  <c r="R9" i="6"/>
  <c r="R2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16" i="6"/>
  <c r="N17" i="6"/>
  <c r="O2" i="6"/>
  <c r="N2" i="6"/>
  <c r="I2" i="6" a="1"/>
  <c r="I2" i="6" s="1"/>
  <c r="E2" i="6" a="1"/>
  <c r="E2" i="6" s="1"/>
  <c r="A2" i="6" a="1"/>
  <c r="A2" i="6" s="1"/>
  <c r="BP10" i="3"/>
  <c r="BP11" i="3" s="1"/>
  <c r="CE68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J80" i="3"/>
  <c r="CR38" i="3" l="1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BK41" i="3" s="1" a="1"/>
  <c r="BK41" i="3" s="1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AA53" i="3" s="1"/>
  <c r="E29" i="3"/>
  <c r="H59" i="3"/>
  <c r="E34" i="3"/>
  <c r="E7" i="3"/>
  <c r="E60" i="3"/>
  <c r="AA60" i="3" s="1"/>
  <c r="H31" i="3"/>
  <c r="H7" i="3"/>
  <c r="H57" i="3"/>
  <c r="E33" i="3"/>
  <c r="E9" i="3"/>
  <c r="H60" i="3"/>
  <c r="H34" i="3"/>
  <c r="E8" i="3"/>
  <c r="H58" i="3"/>
  <c r="H33" i="3"/>
  <c r="E14" i="3"/>
  <c r="AA14" i="3" s="1"/>
  <c r="E57" i="3"/>
  <c r="AA57" i="3" s="1"/>
  <c r="E32" i="3"/>
  <c r="AA32" i="3" s="1"/>
  <c r="H14" i="3"/>
  <c r="H55" i="3"/>
  <c r="E13" i="3"/>
  <c r="E56" i="3"/>
  <c r="H13" i="3"/>
  <c r="H56" i="3"/>
  <c r="E11" i="3"/>
  <c r="E55" i="3"/>
  <c r="H11" i="3"/>
  <c r="H65" i="3"/>
  <c r="E37" i="3"/>
  <c r="AA37" i="3" s="1"/>
  <c r="E10" i="3"/>
  <c r="AA10" i="3" s="1"/>
  <c r="E66" i="3"/>
  <c r="H38" i="3"/>
  <c r="H10" i="3"/>
  <c r="H66" i="3"/>
  <c r="H37" i="3"/>
  <c r="E65" i="3"/>
  <c r="E38" i="3"/>
  <c r="H62" i="3"/>
  <c r="E39" i="3"/>
  <c r="AA39" i="3" s="1"/>
  <c r="E16" i="3"/>
  <c r="AA16" i="3" s="1"/>
  <c r="E61" i="3"/>
  <c r="AA61" i="3" s="1"/>
  <c r="H40" i="3"/>
  <c r="H16" i="3"/>
  <c r="H61" i="3"/>
  <c r="H39" i="3"/>
  <c r="E15" i="3"/>
  <c r="E62" i="3"/>
  <c r="E40" i="3"/>
  <c r="H15" i="3"/>
  <c r="H64" i="3"/>
  <c r="E41" i="3"/>
  <c r="AA41" i="3" s="1"/>
  <c r="E17" i="3"/>
  <c r="AA17" i="3" s="1"/>
  <c r="E63" i="3"/>
  <c r="AA63" i="3" s="1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AA21" i="3" s="1"/>
  <c r="E70" i="3"/>
  <c r="E46" i="3"/>
  <c r="AA46" i="3" s="1"/>
  <c r="H21" i="3"/>
  <c r="H72" i="3"/>
  <c r="E44" i="3"/>
  <c r="E20" i="3"/>
  <c r="H71" i="3"/>
  <c r="H44" i="3"/>
  <c r="E19" i="3"/>
  <c r="E72" i="3"/>
  <c r="AA72" i="3" s="1"/>
  <c r="E43" i="3"/>
  <c r="AA43" i="3" s="1"/>
  <c r="H19" i="3"/>
  <c r="H67" i="3"/>
  <c r="E48" i="3"/>
  <c r="E23" i="3"/>
  <c r="E68" i="3"/>
  <c r="H47" i="3"/>
  <c r="H23" i="3"/>
  <c r="E67" i="3"/>
  <c r="AA67" i="3" s="1"/>
  <c r="E47" i="3"/>
  <c r="AA47" i="3" s="1"/>
  <c r="H24" i="3"/>
  <c r="H76" i="3"/>
  <c r="E49" i="3"/>
  <c r="AA49" i="3" s="1"/>
  <c r="E25" i="3"/>
  <c r="AA25" i="3" s="1"/>
  <c r="E75" i="3"/>
  <c r="H50" i="3"/>
  <c r="H25" i="3"/>
  <c r="H75" i="3"/>
  <c r="H49" i="3"/>
  <c r="E26" i="3"/>
  <c r="E76" i="3"/>
  <c r="E50" i="3"/>
  <c r="AA50" i="3" s="1"/>
  <c r="H26" i="3"/>
  <c r="E78" i="3"/>
  <c r="AA78" i="3" s="1"/>
  <c r="H54" i="3"/>
  <c r="H29" i="3"/>
  <c r="H78" i="3"/>
  <c r="H53" i="3"/>
  <c r="E30" i="3"/>
  <c r="E77" i="3"/>
  <c r="E54" i="3"/>
  <c r="H30" i="3"/>
  <c r="H73" i="3"/>
  <c r="E51" i="3"/>
  <c r="AA51" i="3" s="1"/>
  <c r="E28" i="3"/>
  <c r="E74" i="3"/>
  <c r="AA74" i="3" s="1"/>
  <c r="H52" i="3"/>
  <c r="H28" i="3"/>
  <c r="H74" i="3"/>
  <c r="H51" i="3"/>
  <c r="E27" i="3"/>
  <c r="E73" i="3"/>
  <c r="E52" i="3"/>
  <c r="H27" i="3"/>
  <c r="E71" i="3"/>
  <c r="AA71" i="3" s="1"/>
  <c r="H43" i="3"/>
  <c r="H20" i="3"/>
  <c r="E59" i="3"/>
  <c r="AA59" i="3" s="1"/>
  <c r="E31" i="3"/>
  <c r="E58" i="3"/>
  <c r="AA58" i="3" s="1"/>
  <c r="H32" i="3"/>
  <c r="E69" i="3"/>
  <c r="H46" i="3"/>
  <c r="H68" i="3"/>
  <c r="H48" i="3"/>
  <c r="E24" i="3"/>
  <c r="E12" i="3"/>
  <c r="H8" i="3"/>
  <c r="H22" i="3"/>
  <c r="H12" i="3"/>
  <c r="E22" i="3"/>
  <c r="AA22" i="3" s="1"/>
  <c r="H9" i="3"/>
  <c r="D7" i="3"/>
  <c r="AA28" i="3" l="1"/>
  <c r="AA19" i="3"/>
  <c r="AA45" i="3"/>
  <c r="AA34" i="3"/>
  <c r="AA31" i="3"/>
  <c r="AA7" i="3"/>
  <c r="AA12" i="3"/>
  <c r="AA76" i="3"/>
  <c r="AA38" i="3"/>
  <c r="AA11" i="3"/>
  <c r="AA8" i="3"/>
  <c r="AA29" i="3"/>
  <c r="AA20" i="3"/>
  <c r="AA44" i="3"/>
  <c r="AA42" i="3"/>
  <c r="AA54" i="3"/>
  <c r="AA64" i="3"/>
  <c r="AA73" i="3"/>
  <c r="AA77" i="3"/>
  <c r="AA68" i="3"/>
  <c r="AA18" i="3"/>
  <c r="AA15" i="3"/>
  <c r="AA56" i="3"/>
  <c r="AA9" i="3"/>
  <c r="AA36" i="3"/>
  <c r="AA24" i="3"/>
  <c r="AA62" i="3"/>
  <c r="AA27" i="3"/>
  <c r="AA30" i="3"/>
  <c r="AA23" i="3"/>
  <c r="AA13" i="3"/>
  <c r="AA33" i="3"/>
  <c r="AA55" i="3"/>
  <c r="AA26" i="3"/>
  <c r="AA65" i="3"/>
  <c r="AA40" i="3"/>
  <c r="AA52" i="3"/>
  <c r="AA69" i="3"/>
  <c r="AA48" i="3"/>
  <c r="AA75" i="3"/>
  <c r="AA70" i="3"/>
  <c r="AA66" i="3"/>
  <c r="AA35" i="3"/>
  <c r="S12" i="3"/>
  <c r="T12" i="3" s="1"/>
  <c r="S27" i="3"/>
  <c r="T27" i="3" s="1"/>
  <c r="S74" i="3"/>
  <c r="S28" i="3"/>
  <c r="S51" i="3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T23" i="3" s="1"/>
  <c r="S48" i="3"/>
  <c r="T48" i="3" s="1"/>
  <c r="S43" i="3"/>
  <c r="S19" i="3"/>
  <c r="T19" i="3" s="1"/>
  <c r="S20" i="3"/>
  <c r="S44" i="3"/>
  <c r="T44" i="3" s="1"/>
  <c r="S46" i="3"/>
  <c r="T46" i="3" s="1"/>
  <c r="S21" i="3"/>
  <c r="T21" i="3" s="1"/>
  <c r="S45" i="3"/>
  <c r="S18" i="3"/>
  <c r="T18" i="3" s="1"/>
  <c r="S63" i="3"/>
  <c r="T63" i="3" s="1"/>
  <c r="S17" i="3"/>
  <c r="T17" i="3" s="1"/>
  <c r="S41" i="3"/>
  <c r="T41" i="3" s="1"/>
  <c r="S15" i="3"/>
  <c r="T15" i="3" s="1"/>
  <c r="S61" i="3"/>
  <c r="S16" i="3"/>
  <c r="S39" i="3"/>
  <c r="S66" i="3"/>
  <c r="S10" i="3"/>
  <c r="T10" i="3" s="1"/>
  <c r="S37" i="3"/>
  <c r="T37" i="3" s="1"/>
  <c r="S11" i="3"/>
  <c r="T11" i="3" s="1"/>
  <c r="S56" i="3"/>
  <c r="S13" i="3"/>
  <c r="T13" i="3" s="1"/>
  <c r="S32" i="3"/>
  <c r="T32" i="3" s="1"/>
  <c r="S14" i="3"/>
  <c r="T14" i="3" s="1"/>
  <c r="S8" i="3"/>
  <c r="T8" i="3" s="1"/>
  <c r="S9" i="3"/>
  <c r="S33" i="3"/>
  <c r="T33" i="3" s="1"/>
  <c r="S60" i="3"/>
  <c r="T60" i="3" s="1"/>
  <c r="S34" i="3"/>
  <c r="T34" i="3" s="1"/>
  <c r="S29" i="3"/>
  <c r="T29" i="3" s="1"/>
  <c r="S53" i="3"/>
  <c r="T53" i="3" s="1"/>
  <c r="S35" i="3"/>
  <c r="T35" i="3" s="1"/>
  <c r="S7" i="3"/>
  <c r="T7" i="3" s="1"/>
  <c r="S22" i="3"/>
  <c r="S24" i="3"/>
  <c r="S69" i="3"/>
  <c r="S58" i="3"/>
  <c r="S31" i="3"/>
  <c r="S59" i="3"/>
  <c r="S71" i="3"/>
  <c r="S52" i="3"/>
  <c r="S73" i="3"/>
  <c r="T74" i="3"/>
  <c r="T28" i="3"/>
  <c r="T51" i="3"/>
  <c r="S54" i="3"/>
  <c r="S77" i="3"/>
  <c r="S50" i="3"/>
  <c r="S76" i="3"/>
  <c r="S47" i="3"/>
  <c r="S67" i="3"/>
  <c r="T43" i="3"/>
  <c r="S72" i="3"/>
  <c r="T20" i="3"/>
  <c r="S70" i="3"/>
  <c r="T45" i="3"/>
  <c r="S42" i="3"/>
  <c r="S64" i="3"/>
  <c r="S40" i="3"/>
  <c r="S62" i="3"/>
  <c r="T61" i="3"/>
  <c r="T16" i="3"/>
  <c r="T39" i="3"/>
  <c r="S38" i="3"/>
  <c r="S65" i="3"/>
  <c r="T66" i="3"/>
  <c r="S55" i="3"/>
  <c r="T56" i="3"/>
  <c r="S57" i="3"/>
  <c r="T9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11" i="3"/>
  <c r="AR10" i="3"/>
  <c r="AR9" i="3"/>
  <c r="AR35" i="3"/>
  <c r="AR34" i="3"/>
  <c r="AR33" i="3"/>
  <c r="AR71" i="3"/>
  <c r="AR29" i="3" l="1"/>
  <c r="AR27" i="3"/>
  <c r="AR28" i="3"/>
  <c r="AR75" i="3"/>
  <c r="AR21" i="3"/>
  <c r="AR76" i="3"/>
  <c r="AR69" i="3"/>
  <c r="AR70" i="3"/>
  <c r="AR22" i="3"/>
  <c r="AR77" i="3"/>
  <c r="AD75" i="3" s="1"/>
  <c r="AR65" i="3"/>
  <c r="AR40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L58" i="3" s="1"/>
  <c r="AR16" i="3"/>
  <c r="AR17" i="3"/>
  <c r="AD59" i="3"/>
  <c r="AD33" i="3"/>
  <c r="AD32" i="3"/>
  <c r="AD34" i="3"/>
  <c r="AD35" i="3"/>
  <c r="AD27" i="3"/>
  <c r="AD26" i="3"/>
  <c r="AD28" i="3"/>
  <c r="AD29" i="3"/>
  <c r="AD9" i="3"/>
  <c r="AD8" i="3"/>
  <c r="AD10" i="3"/>
  <c r="AD11" i="3"/>
  <c r="AD22" i="3" l="1"/>
  <c r="AD41" i="3"/>
  <c r="AD69" i="3"/>
  <c r="AD71" i="3"/>
  <c r="L59" i="3"/>
  <c r="O60" i="3"/>
  <c r="N58" i="3"/>
  <c r="AD70" i="3"/>
  <c r="AD68" i="3"/>
  <c r="N69" i="3" s="1"/>
  <c r="AD77" i="3"/>
  <c r="AD15" i="3"/>
  <c r="AD76" i="3"/>
  <c r="AD74" i="3"/>
  <c r="M58" i="3"/>
  <c r="AD53" i="3"/>
  <c r="AD21" i="3"/>
  <c r="AD20" i="3"/>
  <c r="AD44" i="3"/>
  <c r="AD39" i="3"/>
  <c r="M59" i="3"/>
  <c r="P59" i="3" s="1"/>
  <c r="AD63" i="3"/>
  <c r="AD47" i="3"/>
  <c r="AD14" i="3"/>
  <c r="AD62" i="3"/>
  <c r="L57" i="3"/>
  <c r="AD64" i="3"/>
  <c r="AD16" i="3"/>
  <c r="L60" i="3"/>
  <c r="J57" i="3"/>
  <c r="AS56" i="3" s="1"/>
  <c r="BL14" i="3" s="1"/>
  <c r="M3" i="6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O59" i="3"/>
  <c r="AD45" i="3"/>
  <c r="AD40" i="3"/>
  <c r="AD52" i="3"/>
  <c r="AD38" i="3"/>
  <c r="AD50" i="3"/>
  <c r="N59" i="3"/>
  <c r="AD17" i="3"/>
  <c r="J12" i="3"/>
  <c r="N12" i="3"/>
  <c r="O9" i="3"/>
  <c r="N9" i="3"/>
  <c r="O12" i="3"/>
  <c r="M9" i="3"/>
  <c r="L12" i="3"/>
  <c r="M12" i="3"/>
  <c r="J9" i="3"/>
  <c r="AS8" i="3" s="1"/>
  <c r="BL50" i="3" s="1"/>
  <c r="M12" i="6" s="1"/>
  <c r="L9" i="3"/>
  <c r="L11" i="3"/>
  <c r="M10" i="3"/>
  <c r="N10" i="3"/>
  <c r="O11" i="3"/>
  <c r="J11" i="3"/>
  <c r="AE80" i="3" s="1"/>
  <c r="AQ80" i="3" s="1"/>
  <c r="L10" i="3"/>
  <c r="O10" i="3"/>
  <c r="N11" i="3"/>
  <c r="M11" i="3"/>
  <c r="J10" i="3"/>
  <c r="AS9" i="3" s="1"/>
  <c r="BL18" i="3" s="1"/>
  <c r="J30" i="3"/>
  <c r="J29" i="3"/>
  <c r="AE83" i="3" s="1"/>
  <c r="AQ83" i="3" s="1"/>
  <c r="J28" i="3"/>
  <c r="AS27" i="3" s="1"/>
  <c r="BL62" i="3" s="1"/>
  <c r="J27" i="3"/>
  <c r="AS26" i="3" s="1"/>
  <c r="BL34" i="3" s="1"/>
  <c r="N27" i="3"/>
  <c r="M29" i="3"/>
  <c r="M27" i="3"/>
  <c r="N29" i="3"/>
  <c r="L29" i="3"/>
  <c r="O29" i="3"/>
  <c r="L27" i="3"/>
  <c r="L28" i="3"/>
  <c r="O28" i="3"/>
  <c r="M30" i="3"/>
  <c r="M28" i="3"/>
  <c r="O30" i="3"/>
  <c r="O27" i="3"/>
  <c r="N28" i="3"/>
  <c r="N30" i="3"/>
  <c r="L30" i="3"/>
  <c r="J36" i="3"/>
  <c r="J35" i="3"/>
  <c r="AE84" i="3" s="1"/>
  <c r="AQ84" i="3" s="1"/>
  <c r="J34" i="3"/>
  <c r="AS33" i="3" s="1"/>
  <c r="BL46" i="3" s="1"/>
  <c r="M11" i="6" s="1"/>
  <c r="J33" i="3"/>
  <c r="AS32" i="3" s="1"/>
  <c r="BL10" i="3" s="1"/>
  <c r="M2" i="6" s="1"/>
  <c r="N33" i="3"/>
  <c r="L33" i="3"/>
  <c r="O33" i="3"/>
  <c r="M33" i="3"/>
  <c r="M35" i="3"/>
  <c r="L36" i="3"/>
  <c r="O34" i="3"/>
  <c r="O35" i="3"/>
  <c r="L34" i="3"/>
  <c r="O36" i="3"/>
  <c r="L35" i="3"/>
  <c r="M36" i="3"/>
  <c r="N35" i="3"/>
  <c r="M34" i="3"/>
  <c r="N36" i="3"/>
  <c r="N34" i="3"/>
  <c r="M4" i="6" l="1"/>
  <c r="S88" i="3"/>
  <c r="T88" i="3" s="1" a="1"/>
  <c r="T88" i="3" s="1"/>
  <c r="BS20" i="3"/>
  <c r="M8" i="6"/>
  <c r="S90" i="3"/>
  <c r="T90" i="3" s="1" a="1"/>
  <c r="T90" i="3" s="1"/>
  <c r="BS36" i="3"/>
  <c r="K58" i="3"/>
  <c r="BS61" i="3"/>
  <c r="T8" i="6" s="1"/>
  <c r="M15" i="6"/>
  <c r="BS45" i="3"/>
  <c r="P11" i="6"/>
  <c r="L39" i="3"/>
  <c r="J45" i="3"/>
  <c r="AS44" i="3" s="1"/>
  <c r="BL38" i="3" s="1"/>
  <c r="J53" i="3"/>
  <c r="AE87" i="3" s="1"/>
  <c r="AQ87" i="3" s="1"/>
  <c r="M51" i="3"/>
  <c r="L16" i="3"/>
  <c r="M45" i="3"/>
  <c r="J21" i="3"/>
  <c r="AS20" i="3" s="1"/>
  <c r="BL42" i="3" s="1"/>
  <c r="N63" i="3"/>
  <c r="L72" i="3"/>
  <c r="O71" i="3"/>
  <c r="N71" i="3"/>
  <c r="M71" i="3"/>
  <c r="M69" i="3"/>
  <c r="O16" i="3"/>
  <c r="L69" i="3"/>
  <c r="N16" i="3"/>
  <c r="M18" i="3"/>
  <c r="P58" i="3"/>
  <c r="J78" i="3"/>
  <c r="M72" i="3"/>
  <c r="J18" i="3"/>
  <c r="J24" i="3"/>
  <c r="O63" i="3"/>
  <c r="M76" i="3"/>
  <c r="N77" i="3"/>
  <c r="O75" i="3"/>
  <c r="L40" i="3"/>
  <c r="O70" i="3"/>
  <c r="J77" i="3"/>
  <c r="AE91" i="3" s="1"/>
  <c r="AQ91" i="3" s="1"/>
  <c r="O77" i="3"/>
  <c r="J69" i="3"/>
  <c r="AS68" i="3" s="1"/>
  <c r="BL70" i="3" s="1"/>
  <c r="M17" i="6" s="1"/>
  <c r="O78" i="3"/>
  <c r="N70" i="3"/>
  <c r="L70" i="3"/>
  <c r="N76" i="3"/>
  <c r="J75" i="3"/>
  <c r="AS74" i="3" s="1"/>
  <c r="BL54" i="3" s="1"/>
  <c r="M13" i="6" s="1"/>
  <c r="J76" i="3"/>
  <c r="AS75" i="3" s="1"/>
  <c r="BL27" i="3" s="1"/>
  <c r="P6" i="6" s="1"/>
  <c r="J71" i="3"/>
  <c r="AE90" i="3" s="1"/>
  <c r="AQ90" i="3" s="1"/>
  <c r="M70" i="3"/>
  <c r="J72" i="3"/>
  <c r="M75" i="3"/>
  <c r="N75" i="3"/>
  <c r="L77" i="3"/>
  <c r="L71" i="3"/>
  <c r="J70" i="3"/>
  <c r="AS69" i="3" s="1"/>
  <c r="BL26" i="3" s="1"/>
  <c r="L78" i="3"/>
  <c r="M78" i="3"/>
  <c r="N78" i="3"/>
  <c r="O72" i="3"/>
  <c r="O69" i="3"/>
  <c r="L76" i="3"/>
  <c r="N72" i="3"/>
  <c r="O22" i="3"/>
  <c r="N21" i="3"/>
  <c r="L64" i="3"/>
  <c r="M21" i="3"/>
  <c r="O24" i="3"/>
  <c r="L22" i="3"/>
  <c r="O76" i="3"/>
  <c r="L75" i="3"/>
  <c r="O21" i="3"/>
  <c r="N24" i="3"/>
  <c r="O40" i="3"/>
  <c r="J22" i="3"/>
  <c r="AS21" i="3" s="1"/>
  <c r="BL23" i="3" s="1"/>
  <c r="P5" i="6" s="1"/>
  <c r="AL88" i="3"/>
  <c r="M40" i="3"/>
  <c r="J65" i="3"/>
  <c r="AE89" i="3" s="1"/>
  <c r="AQ89" i="3" s="1"/>
  <c r="O45" i="3"/>
  <c r="N66" i="3"/>
  <c r="L24" i="3"/>
  <c r="J66" i="3"/>
  <c r="AI88" i="3"/>
  <c r="N15" i="3"/>
  <c r="L45" i="3"/>
  <c r="K59" i="3"/>
  <c r="O23" i="3"/>
  <c r="M22" i="3"/>
  <c r="L23" i="3"/>
  <c r="N64" i="3"/>
  <c r="N52" i="3"/>
  <c r="N45" i="3"/>
  <c r="M77" i="3"/>
  <c r="O48" i="3"/>
  <c r="N22" i="3"/>
  <c r="L21" i="3"/>
  <c r="N41" i="3"/>
  <c r="M24" i="3"/>
  <c r="N23" i="3"/>
  <c r="M64" i="3"/>
  <c r="L53" i="3"/>
  <c r="M54" i="3"/>
  <c r="L15" i="3"/>
  <c r="M23" i="3"/>
  <c r="J23" i="3"/>
  <c r="AE82" i="3" s="1"/>
  <c r="AQ82" i="3" s="1"/>
  <c r="N17" i="3"/>
  <c r="J51" i="3"/>
  <c r="AS50" i="3" s="1"/>
  <c r="BL30" i="3" s="1"/>
  <c r="O65" i="3"/>
  <c r="J39" i="3"/>
  <c r="AS38" i="3" s="1"/>
  <c r="BL22" i="3" s="1"/>
  <c r="L17" i="3"/>
  <c r="M41" i="3"/>
  <c r="M66" i="3"/>
  <c r="M63" i="3"/>
  <c r="L41" i="3"/>
  <c r="L54" i="3"/>
  <c r="N53" i="3"/>
  <c r="M42" i="3"/>
  <c r="J40" i="3"/>
  <c r="AS39" i="3" s="1"/>
  <c r="BL43" i="3" s="1"/>
  <c r="P10" i="6" s="1"/>
  <c r="L18" i="3"/>
  <c r="O17" i="3"/>
  <c r="J48" i="3"/>
  <c r="O66" i="3"/>
  <c r="O53" i="3"/>
  <c r="O52" i="3"/>
  <c r="N18" i="3"/>
  <c r="M16" i="3"/>
  <c r="J52" i="3"/>
  <c r="AS51" i="3" s="1"/>
  <c r="BL59" i="3" s="1"/>
  <c r="P14" i="6" s="1"/>
  <c r="M52" i="3"/>
  <c r="N40" i="3"/>
  <c r="O51" i="3"/>
  <c r="O18" i="3"/>
  <c r="J17" i="3"/>
  <c r="AE81" i="3" s="1"/>
  <c r="AQ81" i="3" s="1"/>
  <c r="L66" i="3"/>
  <c r="L52" i="3"/>
  <c r="N65" i="3"/>
  <c r="M65" i="3"/>
  <c r="N51" i="3"/>
  <c r="L51" i="3"/>
  <c r="O39" i="3"/>
  <c r="O64" i="3"/>
  <c r="O54" i="3"/>
  <c r="M17" i="3"/>
  <c r="J16" i="3"/>
  <c r="AS15" i="3" s="1"/>
  <c r="BL19" i="3" s="1"/>
  <c r="P4" i="6" s="1"/>
  <c r="L63" i="3"/>
  <c r="N39" i="3"/>
  <c r="M53" i="3"/>
  <c r="L65" i="3"/>
  <c r="J63" i="3"/>
  <c r="AS62" i="3" s="1"/>
  <c r="BL58" i="3" s="1"/>
  <c r="J54" i="3"/>
  <c r="M39" i="3"/>
  <c r="J64" i="3"/>
  <c r="AS63" i="3" s="1"/>
  <c r="BL31" i="3" s="1"/>
  <c r="P7" i="6" s="1"/>
  <c r="N54" i="3"/>
  <c r="AJ88" i="3"/>
  <c r="K57" i="3"/>
  <c r="AN88" i="3"/>
  <c r="O46" i="3"/>
  <c r="M48" i="3"/>
  <c r="N46" i="3"/>
  <c r="O42" i="3"/>
  <c r="J41" i="3"/>
  <c r="AE85" i="3" s="1"/>
  <c r="AQ85" i="3" s="1"/>
  <c r="AG88" i="3"/>
  <c r="AH88" i="3"/>
  <c r="M47" i="3"/>
  <c r="L47" i="3"/>
  <c r="J42" i="3"/>
  <c r="AF88" i="3"/>
  <c r="N47" i="3"/>
  <c r="O41" i="3"/>
  <c r="L46" i="3"/>
  <c r="N48" i="3"/>
  <c r="L42" i="3"/>
  <c r="O47" i="3"/>
  <c r="J47" i="3"/>
  <c r="AE86" i="3" s="1"/>
  <c r="AQ86" i="3" s="1"/>
  <c r="P57" i="3"/>
  <c r="L48" i="3"/>
  <c r="J46" i="3"/>
  <c r="AS45" i="3" s="1"/>
  <c r="BL63" i="3" s="1"/>
  <c r="P15" i="6" s="1"/>
  <c r="M46" i="3"/>
  <c r="AT88" i="3"/>
  <c r="N42" i="3"/>
  <c r="P60" i="3"/>
  <c r="K60" i="3"/>
  <c r="M15" i="3"/>
  <c r="O15" i="3"/>
  <c r="J15" i="3"/>
  <c r="AS14" i="3" s="1"/>
  <c r="BL66" i="3" s="1"/>
  <c r="M16" i="6" s="1"/>
  <c r="P35" i="3"/>
  <c r="K35" i="3"/>
  <c r="P34" i="3"/>
  <c r="K34" i="3"/>
  <c r="P36" i="3"/>
  <c r="K36" i="3"/>
  <c r="P33" i="3"/>
  <c r="K33" i="3"/>
  <c r="AF84" i="3"/>
  <c r="AG84" i="3"/>
  <c r="AH84" i="3"/>
  <c r="AI84" i="3"/>
  <c r="AJ84" i="3"/>
  <c r="AL84" i="3"/>
  <c r="AN84" i="3"/>
  <c r="AT84" i="3"/>
  <c r="K30" i="3"/>
  <c r="P30" i="3"/>
  <c r="P28" i="3"/>
  <c r="K28" i="3"/>
  <c r="K27" i="3"/>
  <c r="P27" i="3"/>
  <c r="K29" i="3"/>
  <c r="P29" i="3"/>
  <c r="AF83" i="3"/>
  <c r="AG83" i="3"/>
  <c r="AH83" i="3"/>
  <c r="AI83" i="3"/>
  <c r="AJ83" i="3"/>
  <c r="AL83" i="3"/>
  <c r="AN83" i="3"/>
  <c r="AT83" i="3"/>
  <c r="K10" i="3"/>
  <c r="P10" i="3"/>
  <c r="AF80" i="3"/>
  <c r="AG80" i="3"/>
  <c r="AH80" i="3"/>
  <c r="AI80" i="3"/>
  <c r="AJ80" i="3"/>
  <c r="AL80" i="3"/>
  <c r="AN80" i="3"/>
  <c r="AT80" i="3"/>
  <c r="P11" i="3"/>
  <c r="K11" i="3"/>
  <c r="P9" i="3"/>
  <c r="K9" i="3"/>
  <c r="P12" i="3"/>
  <c r="K12" i="3"/>
  <c r="Q5" i="6" l="1"/>
  <c r="S98" i="3"/>
  <c r="T98" i="3" s="1" a="1"/>
  <c r="T98" i="3" s="1"/>
  <c r="BZ33" i="3"/>
  <c r="Q3" i="6"/>
  <c r="S96" i="3"/>
  <c r="T96" i="3" s="1" a="1"/>
  <c r="T96" i="3" s="1"/>
  <c r="T6" i="6"/>
  <c r="M6" i="6"/>
  <c r="S86" i="3"/>
  <c r="T86" i="3" s="1" a="1"/>
  <c r="T86" i="3" s="1"/>
  <c r="BS28" i="3"/>
  <c r="M5" i="6"/>
  <c r="S89" i="3"/>
  <c r="T89" i="3" s="1" a="1"/>
  <c r="T89" i="3" s="1"/>
  <c r="BS21" i="3"/>
  <c r="M7" i="6"/>
  <c r="S87" i="3"/>
  <c r="T87" i="3" s="1" a="1"/>
  <c r="T87" i="3" s="1"/>
  <c r="BS29" i="3"/>
  <c r="T4" i="6" s="1"/>
  <c r="P16" i="3"/>
  <c r="M9" i="6"/>
  <c r="S91" i="3"/>
  <c r="T91" i="3" s="1" a="1"/>
  <c r="T91" i="3" s="1"/>
  <c r="BS37" i="3"/>
  <c r="T5" i="6" s="1"/>
  <c r="BS44" i="3"/>
  <c r="Q6" i="6" s="1"/>
  <c r="M10" i="6"/>
  <c r="BS60" i="3"/>
  <c r="M14" i="6"/>
  <c r="P39" i="3"/>
  <c r="AT87" i="3"/>
  <c r="AN87" i="3"/>
  <c r="AJ87" i="3"/>
  <c r="AI87" i="3"/>
  <c r="AH87" i="3"/>
  <c r="AG87" i="3"/>
  <c r="AF87" i="3"/>
  <c r="AL87" i="3"/>
  <c r="P45" i="3"/>
  <c r="P69" i="3"/>
  <c r="K71" i="3"/>
  <c r="P72" i="3"/>
  <c r="K69" i="3"/>
  <c r="P18" i="3"/>
  <c r="K72" i="3"/>
  <c r="P76" i="3"/>
  <c r="P75" i="3"/>
  <c r="P40" i="3"/>
  <c r="AN90" i="3"/>
  <c r="AL90" i="3"/>
  <c r="AJ90" i="3"/>
  <c r="AI90" i="3"/>
  <c r="AH90" i="3"/>
  <c r="AF91" i="3"/>
  <c r="K51" i="3"/>
  <c r="P64" i="3"/>
  <c r="AG90" i="3"/>
  <c r="AF90" i="3"/>
  <c r="K75" i="3"/>
  <c r="AJ89" i="3"/>
  <c r="AL85" i="3"/>
  <c r="AN85" i="3"/>
  <c r="AL91" i="3"/>
  <c r="AT85" i="3"/>
  <c r="AL89" i="3"/>
  <c r="AI89" i="3"/>
  <c r="AI91" i="3"/>
  <c r="K40" i="3"/>
  <c r="K24" i="3"/>
  <c r="P22" i="3"/>
  <c r="P78" i="3"/>
  <c r="P70" i="3"/>
  <c r="AN89" i="3"/>
  <c r="AH91" i="3"/>
  <c r="P23" i="3"/>
  <c r="AT90" i="3"/>
  <c r="AG91" i="3"/>
  <c r="P15" i="3"/>
  <c r="AH82" i="3"/>
  <c r="K70" i="3"/>
  <c r="K54" i="3"/>
  <c r="P71" i="3"/>
  <c r="P77" i="3"/>
  <c r="AG82" i="3"/>
  <c r="AG85" i="3"/>
  <c r="AF85" i="3"/>
  <c r="P54" i="3"/>
  <c r="K64" i="3"/>
  <c r="P51" i="3"/>
  <c r="AT89" i="3"/>
  <c r="AJ91" i="3"/>
  <c r="K76" i="3"/>
  <c r="AI82" i="3"/>
  <c r="K78" i="3"/>
  <c r="AL86" i="3"/>
  <c r="K23" i="3"/>
  <c r="AH89" i="3"/>
  <c r="K77" i="3"/>
  <c r="AI86" i="3"/>
  <c r="AG89" i="3"/>
  <c r="P53" i="3"/>
  <c r="K52" i="3"/>
  <c r="P17" i="3"/>
  <c r="AF82" i="3"/>
  <c r="P42" i="3"/>
  <c r="K16" i="3"/>
  <c r="AG86" i="3"/>
  <c r="AF89" i="3"/>
  <c r="AT91" i="3"/>
  <c r="K39" i="3"/>
  <c r="K45" i="3"/>
  <c r="K65" i="3"/>
  <c r="P41" i="3"/>
  <c r="AF86" i="3"/>
  <c r="AN91" i="3"/>
  <c r="P63" i="3"/>
  <c r="K21" i="3"/>
  <c r="P24" i="3"/>
  <c r="K15" i="3"/>
  <c r="K22" i="3"/>
  <c r="P47" i="3"/>
  <c r="AT82" i="3"/>
  <c r="AL82" i="3"/>
  <c r="AJ82" i="3"/>
  <c r="K53" i="3"/>
  <c r="K48" i="3"/>
  <c r="K66" i="3"/>
  <c r="AG81" i="3"/>
  <c r="AF81" i="3"/>
  <c r="K17" i="3"/>
  <c r="P21" i="3"/>
  <c r="AJ86" i="3"/>
  <c r="AH86" i="3"/>
  <c r="K41" i="3"/>
  <c r="P48" i="3"/>
  <c r="P46" i="3"/>
  <c r="P66" i="3"/>
  <c r="K18" i="3"/>
  <c r="P65" i="3"/>
  <c r="K42" i="3"/>
  <c r="AJ81" i="3"/>
  <c r="AN82" i="3"/>
  <c r="P52" i="3"/>
  <c r="AN81" i="3"/>
  <c r="AI81" i="3"/>
  <c r="K63" i="3"/>
  <c r="AT81" i="3"/>
  <c r="AL81" i="3"/>
  <c r="AH81" i="3"/>
  <c r="K47" i="3"/>
  <c r="K46" i="3"/>
  <c r="AJ85" i="3"/>
  <c r="AI85" i="3"/>
  <c r="AT86" i="3"/>
  <c r="AH85" i="3"/>
  <c r="AN86" i="3"/>
  <c r="X3" i="6" l="1"/>
  <c r="U103" i="3"/>
  <c r="AC103" i="3" s="1" a="1"/>
  <c r="AC103" i="3" s="1"/>
  <c r="BZ48" i="3"/>
  <c r="U4" i="6" s="1"/>
  <c r="Q4" i="6"/>
  <c r="S97" i="3"/>
  <c r="T97" i="3" s="1" a="1"/>
  <c r="T97" i="3" s="1"/>
  <c r="BZ32" i="3"/>
  <c r="BZ17" i="3"/>
  <c r="T3" i="6"/>
  <c r="BZ64" i="3"/>
  <c r="U5" i="6" s="1"/>
  <c r="Q8" i="6"/>
  <c r="AL92" i="3"/>
  <c r="AM88" i="3" s="1"/>
  <c r="AG92" i="3"/>
  <c r="AN92" i="3"/>
  <c r="AJ92" i="3"/>
  <c r="AF92" i="3"/>
  <c r="AI92" i="3"/>
  <c r="AS92" i="3"/>
  <c r="AH92" i="3"/>
  <c r="X2" i="6" l="1"/>
  <c r="U102" i="3"/>
  <c r="AC102" i="3" s="1" a="1"/>
  <c r="AC102" i="3" s="1"/>
  <c r="U3" i="6"/>
  <c r="S103" i="3"/>
  <c r="T103" i="3" s="1" a="1"/>
  <c r="T103" i="3" s="1"/>
  <c r="CG24" i="3"/>
  <c r="AM85" i="3"/>
  <c r="AM84" i="3"/>
  <c r="AM86" i="3"/>
  <c r="AM87" i="3"/>
  <c r="AM81" i="3"/>
  <c r="AM89" i="3"/>
  <c r="AM90" i="3"/>
  <c r="AM82" i="3"/>
  <c r="AM83" i="3"/>
  <c r="AM91" i="3"/>
  <c r="AM80" i="3"/>
  <c r="S85" i="3"/>
  <c r="T85" i="3" s="1" a="1"/>
  <c r="T85" i="3" s="1"/>
  <c r="BS13" i="3"/>
  <c r="T2" i="6" s="1"/>
  <c r="AB2" i="6" l="1"/>
  <c r="CN48" i="3"/>
  <c r="AM92" i="3"/>
  <c r="AP87" i="3" s="1"/>
  <c r="AP88" i="3"/>
  <c r="AP82" i="3"/>
  <c r="AP83" i="3"/>
  <c r="AP91" i="3"/>
  <c r="AP90" i="3" l="1"/>
  <c r="AP86" i="3"/>
  <c r="AP89" i="3"/>
  <c r="AP81" i="3"/>
  <c r="AD81" i="3" s="1"/>
  <c r="AS81" i="3" s="1"/>
  <c r="AP80" i="3"/>
  <c r="AD82" i="3" s="1"/>
  <c r="AS82" i="3" s="1"/>
  <c r="AP84" i="3"/>
  <c r="AP85" i="3"/>
  <c r="AD88" i="3" s="1"/>
  <c r="AS88" i="3" s="1"/>
  <c r="AD89" i="3"/>
  <c r="AS89" i="3" s="1"/>
  <c r="AD86" i="3"/>
  <c r="AS86" i="3" s="1"/>
  <c r="AD84" i="3"/>
  <c r="AS84" i="3" s="1"/>
  <c r="AD83" i="3"/>
  <c r="AS83" i="3" s="1"/>
  <c r="AD91" i="3"/>
  <c r="AS91" i="3" s="1"/>
  <c r="AD90" i="3" l="1"/>
  <c r="AS90" i="3" s="1"/>
  <c r="AD85" i="3"/>
  <c r="AS85" i="3" s="1"/>
  <c r="AD80" i="3"/>
  <c r="L88" i="3" s="1"/>
  <c r="AD87" i="3"/>
  <c r="AS87" i="3" s="1"/>
  <c r="AS80" i="3"/>
  <c r="O83" i="3"/>
  <c r="L83" i="3"/>
  <c r="N84" i="3"/>
  <c r="M87" i="3"/>
  <c r="M85" i="3"/>
  <c r="J88" i="3"/>
  <c r="L81" i="3"/>
  <c r="O90" i="3"/>
  <c r="L90" i="3"/>
  <c r="L82" i="3"/>
  <c r="O92" i="3"/>
  <c r="N87" i="3"/>
  <c r="M83" i="3"/>
  <c r="N91" i="3"/>
  <c r="N89" i="3"/>
  <c r="L92" i="3"/>
  <c r="J81" i="3"/>
  <c r="L86" i="3"/>
  <c r="N83" i="3"/>
  <c r="O82" i="3"/>
  <c r="M84" i="3"/>
  <c r="J90" i="3"/>
  <c r="M82" i="3"/>
  <c r="M86" i="3"/>
  <c r="N86" i="3"/>
  <c r="J83" i="3"/>
  <c r="J91" i="3"/>
  <c r="M81" i="3"/>
  <c r="L85" i="3"/>
  <c r="O84" i="3"/>
  <c r="M89" i="3"/>
  <c r="O85" i="3"/>
  <c r="N88" i="3"/>
  <c r="J84" i="3"/>
  <c r="O87" i="3" l="1"/>
  <c r="O88" i="3"/>
  <c r="M88" i="3"/>
  <c r="P88" i="3" s="1"/>
  <c r="M90" i="3"/>
  <c r="N90" i="3"/>
  <c r="N81" i="3"/>
  <c r="J92" i="3"/>
  <c r="N82" i="3"/>
  <c r="K82" i="3" s="1"/>
  <c r="J86" i="3"/>
  <c r="N92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P8" i="6" s="1"/>
  <c r="L91" i="3"/>
  <c r="J85" i="3"/>
  <c r="M92" i="3"/>
  <c r="O81" i="3"/>
  <c r="M91" i="3"/>
  <c r="L84" i="3"/>
  <c r="P84" i="3" s="1"/>
  <c r="L87" i="3"/>
  <c r="P87" i="3" s="1"/>
  <c r="J89" i="3"/>
  <c r="O86" i="3"/>
  <c r="N85" i="3"/>
  <c r="K85" i="3" s="1"/>
  <c r="J87" i="3"/>
  <c r="L89" i="3"/>
  <c r="P89" i="3" s="1"/>
  <c r="J82" i="3"/>
  <c r="O89" i="3"/>
  <c r="O91" i="3"/>
  <c r="P92" i="3"/>
  <c r="P81" i="3"/>
  <c r="K84" i="3"/>
  <c r="K90" i="3"/>
  <c r="K83" i="3"/>
  <c r="K81" i="3"/>
  <c r="K87" i="3"/>
  <c r="P86" i="3"/>
  <c r="P82" i="3"/>
  <c r="P85" i="3"/>
  <c r="P83" i="3"/>
  <c r="P90" i="3"/>
  <c r="K86" i="3"/>
  <c r="K88" i="3"/>
  <c r="K92" i="3" l="1"/>
  <c r="K91" i="3"/>
  <c r="P91" i="3"/>
  <c r="D3" i="4"/>
  <c r="K3" i="4"/>
  <c r="B3" i="4"/>
  <c r="G3" i="4"/>
  <c r="BL11" i="3" s="1"/>
  <c r="P2" i="6" s="1"/>
  <c r="E3" i="4"/>
  <c r="J3" i="4"/>
  <c r="BL71" i="3" s="1"/>
  <c r="P17" i="6" s="1"/>
  <c r="I3" i="4"/>
  <c r="BL15" i="3" s="1"/>
  <c r="P3" i="6" s="1"/>
  <c r="H3" i="4"/>
  <c r="BL39" i="3" s="1"/>
  <c r="P9" i="6" s="1"/>
  <c r="K89" i="3"/>
  <c r="BS12" i="3"/>
  <c r="S84" i="3"/>
  <c r="T84" i="3" s="1" a="1"/>
  <c r="T84" i="3" s="1"/>
  <c r="BS53" i="3"/>
  <c r="T7" i="6" s="1"/>
  <c r="BL55" i="3"/>
  <c r="P13" i="6" s="1"/>
  <c r="BS52" i="3"/>
  <c r="BL51" i="3"/>
  <c r="P12" i="6" s="1"/>
  <c r="BS69" i="3"/>
  <c r="T9" i="6" s="1"/>
  <c r="BS68" i="3"/>
  <c r="BL67" i="3"/>
  <c r="Q9" i="6" l="1"/>
  <c r="BZ65" i="3"/>
  <c r="Q2" i="6"/>
  <c r="BZ16" i="3"/>
  <c r="S95" i="3"/>
  <c r="T95" i="3" s="1" a="1"/>
  <c r="T95" i="3" s="1"/>
  <c r="BZ49" i="3"/>
  <c r="Q7" i="6"/>
  <c r="P16" i="6"/>
  <c r="U2" i="6" l="1"/>
  <c r="S102" i="3"/>
  <c r="T102" i="3" s="1" a="1"/>
  <c r="T102" i="3" s="1"/>
  <c r="CG23" i="3"/>
  <c r="CG55" i="3"/>
  <c r="X4" i="6"/>
  <c r="CG56" i="3"/>
  <c r="X5" i="6"/>
  <c r="AB3" i="6" l="1"/>
  <c r="CN49" i="3"/>
  <c r="Y3" i="6"/>
  <c r="CN38" i="3"/>
  <c r="AF2" i="6" s="1"/>
  <c r="CN37" i="3"/>
  <c r="S111" i="3"/>
  <c r="T111" i="3" s="1"/>
  <c r="Y2" i="6"/>
  <c r="CK68" i="3" l="1"/>
  <c r="AC2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<sst xmlns="http://schemas.openxmlformats.org/spreadsheetml/2006/main" count="9879" uniqueCount="3715">
  <si>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</si>
  <si>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</si>
  <si>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</si>
  <si>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</si>
  <si>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</si>
  <si>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</si>
  <si>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</si>
  <si>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</si>
  <si>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</si>
  <si>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</si>
  <si>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</si>
  <si>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</si>
  <si>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</si>
  <si>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</si>
  <si>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</si>
  <si>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</si>
  <si>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</si>
  <si>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</si>
  <si>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</si>
  <si>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</si>
  <si>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</si>
  <si>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</si>
  <si>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</si>
  <si>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</si>
  <si>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</si>
  <si>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</si>
  <si>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</si>
  <si>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</si>
  <si>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</si>
  <si>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</si>
  <si>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</si>
  <si>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</si>
  <si>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</si>
  <si>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</si>
  <si>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</si>
  <si>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</si>
  <si>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</si>
  <si>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</si>
  <si>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</si>
  <si>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</si>
  <si>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</si>
  <si>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</si>
  <si>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</si>
  <si>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</si>
  <si>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</si>
  <si>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</si>
  <si>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</si>
  <si>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</si>
  <si>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</si>
  <si>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</si>
  <si>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</si>
  <si>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</si>
  <si>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</si>
  <si>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</si>
  <si>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</si>
  <si>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</si>
  <si>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</si>
  <si>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</si>
  <si>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</si>
  <si>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</si>
  <si>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</si>
  <si>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</si>
  <si>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</si>
  <si>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</si>
  <si>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</si>
  <si>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</si>
  <si>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</si>
  <si>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</si>
  <si>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</si>
  <si>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</si>
  <si>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</si>
  <si>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</si>
  <si>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</si>
  <si>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</si>
  <si>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</si>
  <si>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</si>
  <si>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</si>
  <si>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</si>
  <si>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</si>
  <si>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</si>
  <si>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</si>
  <si>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</si>
  <si>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</si>
  <si>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</si>
  <si>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</si>
  <si>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</si>
  <si>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</si>
  <si>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</si>
  <si>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</si>
  <si>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</si>
  <si>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</si>
  <si>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</si>
  <si>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</si>
  <si>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</si>
  <si>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</si>
  <si>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</si>
  <si>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</si>
  <si>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</si>
  <si>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</si>
  <si>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</si>
  <si>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</si>
  <si>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</si>
  <si>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</si>
  <si>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</si>
  <si>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</si>
  <si>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</si>
  <si>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</si>
  <si>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</si>
  <si>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</si>
  <si>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</si>
  <si>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</si>
  <si>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</si>
  <si>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</si>
  <si>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</si>
  <si>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</si>
  <si>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</si>
  <si>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</si>
  <si>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</si>
  <si>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</si>
  <si>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</si>
  <si>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</si>
  <si>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</si>
  <si>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</si>
  <si>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</si>
  <si>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</si>
  <si>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</si>
  <si>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</si>
  <si>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</si>
  <si>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</si>
  <si>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</si>
  <si>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</si>
  <si>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</si>
  <si>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</si>
  <si>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</si>
  <si>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</si>
  <si>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</si>
  <si>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</si>
  <si>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</si>
  <si>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</si>
  <si>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</si>
  <si>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</si>
  <si>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</si>
  <si>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</si>
  <si>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</si>
  <si>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</si>
  <si>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</si>
  <si>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</si>
  <si>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</si>
  <si>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</si>
  <si>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</si>
  <si>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</si>
  <si>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</si>
  <si>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</si>
  <si>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</si>
  <si>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</si>
  <si>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</si>
  <si>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</si>
  <si>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</si>
  <si>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</si>
  <si>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</si>
  <si>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</si>
  <si>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</si>
  <si>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</si>
  <si>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</si>
  <si>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</si>
  <si>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</si>
  <si>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</si>
  <si>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</si>
  <si>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</si>
  <si>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</si>
  <si>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</si>
  <si>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</si>
  <si>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</si>
  <si>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</si>
  <si>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</si>
  <si>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</si>
  <si>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</si>
  <si>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</si>
  <si>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</si>
  <si>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</si>
  <si>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</si>
  <si>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</si>
  <si>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</si>
  <si>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</si>
  <si>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</si>
  <si>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</si>
  <si>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</si>
  <si>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</si>
  <si>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</si>
  <si>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</si>
  <si>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</si>
  <si>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</si>
  <si>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</si>
  <si>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</si>
  <si>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</si>
  <si>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</si>
  <si>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</si>
  <si>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</si>
  <si>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</si>
  <si>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</si>
  <si>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</si>
  <si>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</si>
  <si>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</si>
  <si>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</si>
  <si>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</si>
  <si>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</si>
  <si>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</si>
  <si>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</si>
  <si>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</si>
  <si>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</si>
  <si>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</si>
  <si>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</si>
  <si>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</si>
  <si>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</si>
  <si>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</si>
  <si>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</si>
  <si>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</si>
  <si>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</si>
  <si>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</si>
  <si>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</si>
  <si>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</si>
  <si>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</si>
  <si>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</si>
  <si>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</si>
  <si>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</si>
  <si>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</si>
  <si>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</si>
  <si>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</si>
  <si>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</si>
  <si>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</si>
  <si>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</si>
  <si>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</si>
  <si>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</si>
  <si>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</si>
  <si>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</si>
  <si>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</si>
  <si>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</si>
  <si>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</si>
  <si>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</si>
  <si>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</si>
  <si>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</si>
  <si>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</si>
  <si>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</si>
  <si>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</si>
  <si>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</si>
  <si>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</si>
  <si>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</si>
  <si>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</si>
  <si>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</si>
  <si>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</si>
  <si>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</si>
  <si>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</si>
  <si>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</si>
  <si>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</si>
  <si>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</si>
  <si>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</si>
  <si>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</si>
  <si>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</si>
  <si>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</si>
  <si>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</si>
  <si>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</si>
  <si>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</si>
  <si>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</si>
  <si>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</si>
  <si>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</si>
  <si>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</si>
  <si>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</si>
  <si>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</si>
  <si>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</si>
  <si>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</si>
  <si>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</si>
  <si>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</si>
  <si>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</si>
  <si>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</si>
  <si>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</si>
  <si>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</si>
  <si>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</si>
  <si>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</si>
  <si>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</si>
  <si>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</si>
  <si>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</si>
  <si>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</si>
  <si>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</si>
  <si>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</si>
  <si>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</si>
  <si>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</si>
  <si>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</si>
  <si>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</si>
  <si>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</si>
  <si>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</si>
  <si>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</si>
  <si>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</si>
  <si>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</si>
  <si>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</si>
  <si>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</si>
  <si>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</si>
  <si>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</si>
  <si>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</si>
  <si>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</si>
  <si>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</si>
  <si>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</si>
  <si>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</si>
  <si>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</si>
  <si>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</si>
  <si>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</si>
  <si>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</si>
  <si>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</si>
  <si>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</si>
  <si>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</si>
  <si>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</si>
  <si>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</si>
  <si>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</si>
  <si>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</si>
  <si>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</si>
  <si>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</si>
  <si>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</si>
  <si>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</si>
  <si>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</si>
  <si>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</si>
  <si>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</si>
  <si>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</si>
  <si>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</si>
  <si>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</si>
  <si>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</si>
  <si>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</si>
  <si>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</si>
  <si>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</si>
  <si>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</si>
  <si>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</si>
  <si>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</si>
  <si>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</si>
  <si>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</si>
  <si>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</si>
  <si>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</si>
  <si>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</si>
  <si>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</si>
  <si>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</si>
  <si>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</si>
  <si>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</si>
  <si>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</si>
  <si>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</si>
  <si>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</si>
  <si>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</si>
  <si>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</si>
  <si>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</si>
  <si>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</si>
  <si>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</si>
  <si>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</si>
  <si>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</si>
  <si>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</si>
  <si>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</si>
  <si>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</si>
  <si>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</si>
  <si>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</si>
  <si>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</si>
  <si>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</si>
  <si>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</si>
  <si>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</si>
  <si>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</si>
  <si>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</si>
  <si>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</si>
  <si>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</si>
  <si>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</si>
  <si>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</si>
  <si>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</si>
  <si>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</si>
  <si>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</si>
  <si>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</si>
  <si>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</si>
  <si>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</si>
  <si>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</si>
  <si>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</si>
  <si>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</si>
  <si>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</si>
  <si>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</si>
  <si>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</si>
  <si>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</si>
  <si>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</si>
  <si>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</si>
  <si>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</si>
  <si>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</si>
  <si>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</si>
  <si>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</si>
  <si>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</si>
  <si>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</si>
  <si>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</si>
  <si>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</si>
  <si>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</si>
  <si>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</si>
  <si>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</si>
  <si>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</si>
  <si>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</si>
  <si>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</si>
  <si>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</si>
  <si>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</si>
  <si>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</si>
  <si>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</si>
  <si>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</si>
  <si>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</si>
  <si>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</si>
  <si>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</si>
  <si>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</si>
  <si>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</si>
  <si>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</si>
  <si>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</si>
  <si>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</si>
  <si>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</si>
  <si>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</si>
  <si>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</si>
  <si>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</si>
  <si>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</si>
  <si>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</si>
  <si>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</si>
  <si>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</si>
  <si>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</si>
  <si>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</si>
  <si>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</si>
  <si>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</si>
  <si>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</si>
  <si>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</si>
  <si>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</si>
  <si>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</si>
  <si>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</si>
  <si>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</si>
  <si>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</si>
  <si>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</si>
  <si>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</si>
  <si>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</si>
  <si>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</si>
  <si>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</si>
  <si>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</si>
  <si>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</si>
  <si>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</si>
  <si>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</si>
  <si>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</si>
  <si>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</si>
  <si>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</si>
  <si>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</si>
  <si>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</si>
  <si>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</si>
  <si>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</si>
  <si>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</si>
  <si>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</si>
  <si>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</si>
  <si>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</si>
  <si>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</si>
  <si>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</si>
  <si>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</si>
  <si>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</si>
  <si>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</si>
  <si>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</si>
  <si>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</si>
  <si>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</si>
  <si>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</si>
  <si>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</si>
  <si>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</si>
  <si>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</si>
  <si>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</si>
  <si>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</si>
  <si>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</si>
  <si>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</si>
  <si>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</si>
  <si>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</si>
  <si>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</si>
  <si>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</si>
  <si>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</si>
  <si>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</si>
  <si>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</si>
  <si>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</si>
  <si>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</si>
  <si>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</si>
  <si>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</si>
  <si>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</si>
  <si>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</si>
  <si>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</si>
  <si>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</si>
  <si>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</si>
  <si>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</si>
  <si>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</si>
  <si>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</si>
  <si>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</si>
  <si>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</si>
  <si>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</si>
  <si>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</si>
  <si>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</si>
  <si>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</si>
  <si>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</si>
  <si>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</si>
  <si>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</si>
  <si>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</si>
  <si>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</si>
  <si>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</si>
  <si>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</si>
  <si>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</si>
  <si>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</si>
  <si>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</si>
  <si>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</si>
  <si>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</si>
  <si>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</si>
  <si>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</si>
  <si>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</si>
  <si>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</si>
  <si>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</si>
  <si>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</si>
  <si>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</si>
  <si>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</si>
  <si>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</si>
  <si>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</si>
  <si>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</si>
  <si>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</si>
  <si>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</si>
  <si>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</si>
  <si>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</si>
  <si>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</si>
  <si>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</si>
  <si>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</si>
  <si>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</si>
  <si>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</si>
  <si>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</si>
  <si>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</si>
  <si>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</si>
  <si>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</si>
  <si>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</si>
  <si>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</si>
  <si>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</si>
  <si>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</si>
  <si>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</si>
  <si>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</si>
  <si>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</si>
  <si>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</si>
  <si>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</si>
  <si>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</si>
  <si>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</si>
  <si>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</si>
  <si>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</si>
  <si>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</si>
  <si>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</si>
  <si>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</si>
  <si>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</si>
  <si>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</si>
  <si>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</si>
  <si>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</si>
  <si>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</si>
  <si>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</si>
  <si>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</si>
  <si>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</si>
  <si>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</si>
  <si>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</si>
  <si>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</si>
  <si>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</si>
  <si>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</si>
  <si>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</si>
  <si>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</si>
  <si>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</si>
  <si>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</si>
  <si>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</si>
  <si>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</si>
  <si>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</si>
  <si>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</si>
  <si>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</si>
  <si>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</si>
  <si>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</si>
  <si>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</si>
  <si>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</si>
  <si>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</si>
  <si>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</si>
  <si>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</si>
  <si>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</si>
  <si>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</si>
  <si>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</si>
  <si>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</si>
  <si>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</si>
  <si>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</si>
  <si>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</si>
  <si>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</si>
  <si>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</si>
  <si>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</si>
  <si>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</si>
  <si>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</si>
  <si>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</si>
  <si>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</si>
  <si>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</si>
  <si>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</si>
  <si>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</si>
  <si>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</si>
  <si>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</si>
  <si>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</si>
  <si>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</si>
  <si>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</si>
  <si>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</si>
  <si>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</si>
  <si>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</si>
  <si>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</si>
  <si>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</si>
  <si>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</si>
  <si>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</si>
  <si>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</si>
  <si>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</si>
  <si>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</si>
  <si>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</si>
  <si>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</si>
  <si>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</si>
  <si>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</si>
  <si>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</si>
  <si>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</si>
  <si>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</si>
  <si>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</si>
  <si>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</si>
  <si>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</si>
  <si>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</si>
  <si>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</si>
  <si>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</si>
  <si>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</si>
  <si>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</si>
  <si>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</si>
  <si>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</si>
  <si>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</si>
  <si>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</si>
  <si>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</si>
  <si>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</si>
  <si>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</si>
  <si>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</si>
  <si>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</si>
  <si>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</si>
  <si>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</si>
  <si>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</si>
  <si>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</si>
  <si>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</si>
  <si>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</si>
  <si>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</si>
  <si>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</si>
  <si>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</si>
  <si>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</si>
  <si>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</si>
  <si>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</si>
  <si>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</si>
  <si>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</si>
  <si>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</si>
  <si>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</si>
  <si>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</si>
  <si>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</si>
  <si>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</si>
  <si>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</si>
  <si>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</si>
  <si>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</si>
  <si>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</si>
  <si>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</si>
  <si>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</si>
  <si>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</si>
  <si>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</si>
  <si>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</si>
  <si>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</si>
  <si>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</si>
  <si>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</si>
  <si>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</si>
  <si>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</si>
  <si>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</si>
  <si>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</si>
  <si>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</si>
  <si>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</si>
  <si>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</si>
  <si>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</si>
  <si>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</si>
  <si>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</si>
  <si>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</si>
  <si>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</si>
  <si>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</si>
  <si>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</si>
  <si>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</si>
  <si>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</si>
  <si>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</si>
  <si>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</si>
  <si>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</si>
  <si>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</si>
  <si>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</si>
  <si>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</si>
  <si>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</si>
  <si>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</si>
  <si>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</si>
  <si>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</si>
  <si>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</si>
  <si>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</si>
  <si>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</si>
  <si>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</si>
  <si>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</si>
  <si>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</si>
  <si>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</si>
  <si>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</si>
  <si>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</si>
  <si>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</si>
  <si>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</si>
  <si>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</si>
  <si>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</si>
  <si>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</si>
  <si>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</si>
  <si>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</si>
  <si>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</si>
  <si>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</si>
  <si>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</si>
  <si>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</si>
  <si>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</si>
  <si>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</si>
  <si>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</si>
  <si>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</si>
  <si>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</si>
  <si>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</si>
  <si>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</si>
  <si>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</si>
  <si>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</si>
  <si>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</si>
  <si>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</si>
  <si>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</si>
  <si>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</si>
  <si>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</si>
  <si>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</si>
  <si>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</si>
  <si>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</si>
  <si>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</si>
  <si>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</si>
  <si>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</si>
  <si>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</si>
  <si>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</si>
  <si>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</si>
  <si>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</si>
  <si>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</si>
  <si>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</si>
  <si>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</si>
  <si>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</si>
  <si>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</si>
  <si>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</si>
  <si>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</si>
  <si>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</si>
  <si>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</si>
  <si>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</si>
  <si>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</si>
  <si>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</si>
  <si>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</si>
  <si>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</si>
  <si>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</si>
  <si>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</si>
  <si>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</si>
  <si>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</si>
  <si>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</si>
  <si>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</si>
  <si>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</si>
  <si>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</si>
  <si>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</si>
  <si>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</si>
  <si>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</si>
  <si>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</si>
  <si>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</si>
  <si>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</si>
  <si>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</si>
  <si>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</si>
  <si>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</si>
  <si>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</si>
  <si>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</si>
  <si>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</si>
  <si>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</si>
  <si>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</si>
  <si>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</si>
  <si>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</si>
  <si>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</si>
  <si>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</si>
  <si>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</si>
  <si>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</si>
  <si>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</si>
  <si>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</si>
  <si>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</si>
  <si>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</si>
  <si>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</si>
  <si>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</si>
  <si>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</si>
  <si>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</si>
  <si>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</si>
  <si>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</si>
  <si>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</si>
  <si>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</si>
  <si>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</si>
  <si>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</si>
  <si>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</si>
  <si>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</si>
  <si>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</si>
  <si>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</si>
  <si>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</si>
  <si>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</si>
  <si>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</si>
  <si>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</si>
  <si>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</si>
  <si>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</si>
  <si>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</si>
  <si>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</si>
  <si>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</si>
  <si>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</si>
  <si>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</si>
  <si>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</si>
  <si>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</si>
  <si>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</si>
  <si>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</si>
  <si>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</si>
  <si>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</si>
  <si>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</si>
  <si>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</si>
  <si>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</si>
  <si>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</si>
  <si>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</si>
  <si>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</si>
  <si>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</si>
  <si>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</si>
  <si>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</si>
  <si>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</si>
  <si>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</si>
  <si>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</si>
  <si>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</si>
  <si>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</si>
  <si>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</si>
  <si>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</si>
  <si>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</si>
  <si>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</si>
  <si>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</si>
  <si>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</si>
  <si>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</si>
  <si>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</si>
  <si>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</si>
  <si>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</si>
  <si>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</si>
  <si>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</si>
  <si>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</si>
  <si>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</si>
  <si>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</si>
  <si>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</si>
  <si>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</si>
  <si>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</si>
  <si>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</si>
  <si>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</si>
  <si>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</si>
  <si>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</si>
  <si>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</si>
  <si>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</si>
  <si>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</si>
  <si>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</si>
  <si>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</si>
  <si>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</si>
  <si>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</si>
  <si>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</si>
  <si>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</si>
  <si>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</si>
  <si>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</si>
  <si>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</si>
  <si>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</si>
  <si>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</si>
  <si>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</si>
  <si>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</si>
  <si>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</si>
  <si>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</si>
  <si>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</si>
  <si>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</si>
  <si>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</si>
  <si>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</si>
  <si>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</si>
  <si>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</si>
  <si>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</si>
  <si>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</si>
  <si>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</si>
  <si>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</si>
  <si>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</si>
  <si>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</si>
  <si>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</si>
  <si>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</si>
  <si>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</si>
  <si>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</si>
  <si>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</si>
  <si>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</si>
  <si>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</si>
  <si>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</si>
  <si>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</si>
  <si>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</si>
  <si>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</si>
  <si>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</si>
  <si>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</si>
  <si>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</si>
  <si>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</si>
  <si>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</si>
  <si>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</si>
  <si>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</si>
  <si>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</si>
  <si>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</si>
  <si>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</si>
  <si>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</si>
  <si>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</si>
  <si>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</si>
  <si>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</si>
  <si>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</si>
  <si>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</si>
  <si>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</si>
  <si>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</si>
  <si>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</si>
  <si>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</si>
  <si>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</si>
  <si>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</si>
  <si>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</si>
  <si>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</si>
  <si>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</si>
  <si>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</si>
  <si>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</si>
  <si>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</si>
  <si>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</si>
  <si>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</si>
  <si>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</si>
  <si>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</si>
  <si>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</si>
  <si>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</si>
  <si>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</si>
  <si>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</si>
  <si>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</si>
  <si>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</si>
  <si>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</si>
  <si>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</si>
  <si>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</si>
  <si>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</si>
  <si>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</si>
  <si>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</si>
  <si>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</si>
  <si>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</si>
  <si>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</si>
  <si>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</si>
  <si>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</si>
  <si>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</si>
  <si>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</si>
  <si>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</si>
  <si>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</si>
  <si>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</si>
  <si>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</si>
  <si>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</si>
  <si>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</si>
  <si>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</si>
  <si>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</si>
  <si>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</si>
  <si>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</si>
  <si>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</si>
  <si>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</si>
  <si>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</si>
  <si>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</si>
  <si>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</si>
  <si>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</si>
  <si>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</si>
  <si>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</si>
  <si>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</si>
  <si>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</si>
  <si>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</si>
  <si>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</si>
  <si>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</si>
  <si>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</si>
  <si>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</si>
  <si>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</si>
  <si>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</si>
  <si>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</si>
  <si>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</si>
  <si>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</si>
  <si>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</si>
  <si>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</si>
  <si>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</si>
  <si>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</si>
  <si>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</si>
  <si>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</si>
  <si>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</si>
  <si>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</si>
  <si>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</si>
  <si>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</si>
  <si>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</si>
  <si>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</si>
  <si>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</si>
  <si>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</si>
  <si>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</si>
  <si>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</si>
  <si>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</si>
  <si>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</si>
  <si>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</si>
  <si>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</si>
  <si>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</si>
  <si>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</si>
  <si>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</si>
  <si>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</si>
  <si>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</si>
  <si>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</si>
  <si>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</si>
  <si>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</si>
  <si>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</si>
  <si>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</si>
  <si>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</si>
  <si>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</si>
  <si>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</si>
  <si>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</si>
  <si>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</si>
  <si>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</si>
  <si>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</si>
  <si>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</si>
  <si>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</si>
  <si>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</si>
  <si>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</si>
  <si>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</si>
  <si>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</si>
  <si>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</si>
  <si>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</si>
  <si>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</si>
  <si>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</si>
  <si>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</si>
  <si>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</si>
  <si>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</si>
  <si>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</si>
  <si>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</si>
  <si>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</si>
  <si>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</si>
  <si>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</si>
  <si>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</si>
  <si>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</si>
  <si>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</si>
  <si>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</si>
  <si>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</si>
  <si>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</si>
  <si>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</si>
  <si>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</si>
  <si>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</si>
  <si>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</si>
  <si>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</si>
  <si>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</si>
  <si>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</si>
  <si>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</si>
  <si>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</si>
  <si>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</si>
  <si>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</si>
  <si>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</si>
  <si>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</si>
  <si>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</si>
  <si>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</si>
  <si>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</si>
  <si>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</si>
  <si>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</si>
  <si>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</si>
  <si>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</si>
  <si>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</si>
  <si>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</si>
  <si>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</si>
  <si>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</si>
  <si>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</si>
  <si>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</si>
  <si>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</si>
  <si>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</si>
  <si>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</si>
  <si>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</si>
  <si>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</si>
  <si>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</si>
  <si>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</si>
  <si>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</si>
  <si>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</si>
  <si>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</si>
  <si>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</si>
  <si>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</si>
  <si>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</si>
  <si>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</si>
  <si>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</si>
  <si>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</si>
  <si>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</si>
  <si>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</si>
  <si>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</si>
  <si>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</si>
  <si>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</si>
  <si>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</si>
  <si>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</si>
  <si>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</si>
  <si>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</si>
  <si>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</si>
  <si>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</si>
  <si>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</si>
  <si>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</si>
  <si>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</si>
  <si>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</si>
  <si>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</si>
  <si>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</si>
  <si>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</si>
  <si>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</si>
  <si>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</si>
  <si>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</si>
  <si>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</si>
  <si>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</si>
  <si>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</si>
  <si>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</si>
  <si>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</si>
  <si>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</si>
  <si>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</si>
  <si>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</si>
  <si>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</si>
  <si>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</si>
  <si>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</si>
  <si>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</si>
  <si>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</si>
  <si>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</si>
  <si>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</si>
  <si>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</si>
  <si>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</si>
  <si>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</si>
  <si>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</si>
  <si>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</si>
  <si>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</si>
  <si>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</si>
  <si>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</si>
  <si>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</si>
  <si>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</si>
  <si>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</si>
  <si>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</si>
  <si>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</si>
  <si>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</si>
  <si>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</si>
  <si>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</si>
  <si>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</si>
  <si>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</si>
  <si>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</si>
  <si>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</si>
  <si>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</si>
  <si>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</si>
  <si>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</si>
  <si>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</si>
  <si>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</si>
  <si>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</si>
  <si>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</si>
  <si>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</si>
  <si>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</si>
  <si>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</si>
  <si>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</si>
  <si>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</si>
  <si>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</si>
  <si>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</si>
  <si>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</si>
  <si>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</si>
  <si>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</si>
  <si>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</si>
  <si>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</si>
  <si>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</si>
  <si>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</si>
  <si>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</si>
  <si>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</si>
  <si>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</si>
  <si>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</si>
  <si>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</si>
  <si>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</si>
  <si>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</si>
  <si>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</si>
  <si>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</si>
  <si>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</si>
  <si>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</si>
  <si>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</si>
  <si>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</si>
  <si>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</si>
  <si>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</si>
  <si>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</si>
  <si>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</si>
  <si>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</si>
  <si>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</si>
  <si>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</si>
  <si>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</si>
  <si>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</si>
  <si>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</si>
  <si>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</si>
  <si>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</si>
  <si>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</si>
  <si>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</si>
  <si>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</si>
  <si>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</si>
  <si>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</si>
  <si>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</si>
  <si>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</si>
  <si>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</si>
  <si>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</si>
  <si>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</si>
  <si>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</si>
  <si>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</si>
  <si>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</si>
  <si>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</si>
  <si>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</si>
  <si>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</si>
  <si>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</si>
  <si>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</si>
  <si>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</si>
  <si>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</si>
  <si>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</si>
  <si>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</si>
  <si>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</si>
  <si>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</si>
  <si>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</si>
  <si>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</si>
  <si>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</si>
  <si>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</si>
  <si>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</si>
  <si>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</si>
  <si>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</si>
  <si>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</si>
  <si>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</si>
  <si>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</si>
  <si>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</si>
  <si>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</si>
  <si>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</si>
  <si>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</si>
  <si>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</si>
  <si>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</si>
  <si>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</si>
  <si>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</si>
  <si>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</si>
  <si>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</si>
  <si>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</si>
  <si>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</si>
  <si>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</si>
  <si>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</si>
  <si>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</si>
  <si>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</si>
  <si>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</si>
  <si>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</si>
  <si>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</si>
  <si>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</si>
  <si>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</si>
  <si>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</si>
  <si>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</si>
  <si>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</si>
  <si>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</si>
  <si>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</si>
  <si>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</si>
  <si>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</si>
  <si>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</si>
  <si>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</si>
  <si>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</si>
  <si>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</si>
  <si>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</si>
  <si>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</si>
  <si>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</si>
  <si>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</si>
  <si>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</si>
  <si>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</si>
  <si>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</si>
  <si>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</si>
  <si>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</si>
  <si>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</si>
  <si>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</si>
  <si>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</si>
  <si>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</si>
  <si>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</si>
  <si>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</si>
  <si>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</si>
  <si>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</si>
  <si>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</si>
  <si>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</si>
  <si>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</si>
  <si>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</si>
  <si>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</si>
  <si>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</si>
  <si>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</si>
  <si>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</si>
  <si>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</si>
  <si>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</si>
  <si>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</si>
  <si>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</si>
  <si>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</si>
  <si>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</si>
  <si>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</si>
  <si>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</si>
  <si>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</si>
  <si>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</si>
  <si>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</si>
  <si>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</si>
  <si>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</si>
  <si>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</si>
  <si>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</si>
  <si>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</si>
  <si>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</si>
  <si>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</si>
  <si>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</si>
  <si>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</si>
  <si>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</si>
  <si>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</si>
  <si>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</si>
  <si>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</si>
  <si>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</si>
  <si>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</si>
  <si>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</si>
  <si>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</si>
  <si>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</si>
  <si>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</si>
  <si>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</si>
  <si>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</si>
  <si>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</si>
  <si>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</si>
  <si>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</si>
  <si>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</si>
  <si>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</si>
  <si>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</si>
  <si>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</si>
  <si>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</si>
  <si>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</si>
  <si>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</si>
  <si>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</si>
  <si>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</si>
  <si>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</si>
  <si>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</si>
  <si>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</si>
  <si>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</si>
  <si>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</si>
  <si>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</si>
  <si>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</si>
  <si>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</si>
  <si>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</si>
  <si>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</si>
  <si>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</si>
  <si>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</si>
  <si>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</si>
  <si>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</si>
  <si>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</si>
  <si>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</si>
  <si>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</si>
  <si>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</si>
  <si>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</si>
  <si>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</si>
  <si>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</si>
  <si>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</si>
  <si>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</si>
  <si>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</si>
  <si>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</si>
  <si>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</si>
  <si>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</si>
  <si>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</si>
  <si>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</si>
  <si>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</si>
  <si>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</si>
  <si>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</si>
  <si>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</si>
  <si>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</si>
  <si>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</si>
  <si>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</si>
  <si>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</si>
  <si>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</si>
  <si>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</si>
  <si>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</si>
  <si>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</si>
  <si>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</si>
  <si>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</si>
  <si>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</si>
  <si>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</si>
  <si>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</si>
  <si>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</si>
  <si>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</si>
  <si>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</si>
  <si>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</si>
  <si>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</si>
  <si>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</si>
  <si>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</si>
  <si>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</si>
  <si>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</si>
  <si>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</si>
  <si>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</si>
  <si>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</si>
  <si>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</si>
  <si>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</si>
  <si>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</si>
  <si>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</si>
  <si>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</si>
  <si>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</si>
  <si>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</si>
  <si>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</si>
  <si>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</si>
  <si>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</si>
  <si>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</si>
  <si>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</si>
  <si>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</si>
  <si>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</si>
  <si>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</si>
  <si>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</si>
  <si>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</si>
  <si>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</si>
  <si>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</si>
  <si>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</si>
  <si>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</si>
  <si>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</si>
  <si>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</si>
  <si>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</si>
  <si>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</si>
  <si>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</si>
  <si>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</si>
  <si>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</si>
  <si>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</si>
  <si>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</si>
  <si>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</si>
  <si>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</si>
  <si>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</si>
  <si>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</si>
  <si>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</si>
  <si>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</si>
  <si>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</si>
  <si>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</si>
  <si>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</si>
  <si>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</si>
  <si>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</si>
  <si>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</si>
  <si>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</si>
  <si>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</si>
  <si>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</si>
  <si>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</si>
  <si>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</si>
  <si>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</si>
  <si>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</si>
  <si>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</si>
  <si>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</si>
  <si>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</si>
  <si>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</si>
  <si>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</si>
  <si>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</si>
  <si>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</si>
  <si>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</si>
  <si>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</si>
  <si>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</si>
  <si>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</si>
  <si>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</si>
  <si>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</si>
  <si>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</si>
  <si>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</si>
  <si>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</si>
  <si>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</si>
  <si>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</si>
  <si>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</si>
  <si>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</si>
  <si>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</si>
  <si>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</si>
  <si>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</si>
  <si>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</si>
  <si>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</si>
  <si>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</si>
  <si>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</si>
  <si>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</si>
  <si>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</si>
  <si>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</si>
  <si>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</si>
  <si>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</si>
  <si>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</si>
  <si>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</si>
  <si>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</si>
  <si>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</si>
  <si>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</si>
  <si>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</si>
  <si>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</si>
  <si>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</si>
  <si>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</si>
  <si>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</si>
  <si>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</si>
  <si>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</si>
  <si>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</si>
  <si>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</si>
  <si>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</si>
  <si>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</si>
  <si>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</si>
  <si>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</si>
  <si>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</si>
  <si>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</si>
  <si>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</si>
  <si>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</si>
  <si>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</si>
  <si>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</si>
  <si>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</si>
  <si>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</si>
  <si>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</si>
  <si>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</si>
  <si>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</si>
  <si>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</si>
  <si>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</si>
  <si>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</si>
  <si>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</si>
  <si>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</si>
  <si>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</si>
  <si>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</si>
  <si>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</si>
  <si>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</si>
  <si>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</si>
  <si>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</si>
  <si>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</si>
  <si>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</si>
  <si>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</si>
  <si>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</si>
  <si>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</si>
  <si>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</si>
  <si>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</si>
  <si>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</si>
  <si>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</si>
  <si>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</si>
  <si>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</si>
  <si>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</si>
  <si>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</si>
  <si>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</si>
  <si>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</si>
  <si>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</si>
  <si>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</si>
  <si>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</si>
  <si>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</si>
  <si>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</si>
  <si>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</si>
  <si>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</si>
  <si>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</si>
  <si>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</si>
  <si>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</si>
  <si>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</si>
  <si>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</si>
  <si>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</si>
  <si>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</si>
  <si>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</si>
  <si>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</si>
  <si>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</si>
  <si>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</si>
  <si>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</si>
  <si>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</si>
  <si>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</si>
  <si>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</si>
  <si>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</si>
  <si>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</si>
  <si>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</si>
  <si>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</si>
  <si>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</si>
  <si>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</si>
  <si>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</si>
  <si>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</si>
  <si>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</si>
  <si>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</si>
  <si>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</si>
  <si>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</si>
  <si>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</si>
  <si>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</si>
  <si>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</si>
  <si>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</si>
  <si>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</si>
  <si>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</si>
  <si>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</si>
  <si>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</si>
  <si>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</si>
  <si>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</si>
  <si>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</si>
  <si>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</si>
  <si>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</si>
  <si>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</si>
  <si>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</si>
  <si>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</si>
  <si>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</si>
  <si>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</si>
  <si>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</si>
  <si>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</si>
  <si>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</si>
  <si>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</si>
  <si>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</si>
  <si>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</si>
  <si>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</si>
  <si>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</si>
  <si>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</si>
  <si>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</si>
  <si>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</si>
  <si>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</si>
  <si>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</si>
  <si>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</si>
  <si>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</si>
  <si>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</si>
  <si>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</si>
  <si>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</si>
  <si>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</si>
  <si>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</si>
  <si>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</si>
  <si>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</si>
  <si>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</si>
  <si>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</si>
  <si>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</si>
  <si>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</si>
  <si>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</si>
  <si>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</si>
  <si>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</si>
  <si>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</si>
  <si>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</si>
  <si>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</si>
  <si>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</si>
  <si>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</si>
  <si>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</si>
  <si>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</si>
  <si>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</si>
  <si>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</si>
  <si>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</si>
  <si>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</si>
  <si>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</si>
  <si>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</si>
  <si>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</si>
  <si>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</si>
  <si>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</si>
  <si>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</si>
  <si>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</si>
  <si>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</si>
  <si>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</si>
  <si>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</si>
  <si>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</si>
  <si>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</si>
  <si>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</si>
  <si>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</si>
  <si>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</si>
  <si>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</si>
  <si>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</si>
  <si>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</si>
  <si>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</si>
  <si>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</si>
  <si>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</si>
  <si>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</si>
  <si>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</si>
  <si>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</si>
  <si>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</si>
  <si>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</si>
  <si>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</si>
  <si>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</si>
  <si>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</si>
  <si>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</si>
  <si>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</si>
  <si>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</si>
  <si>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</si>
  <si>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</si>
  <si>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</si>
  <si>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</si>
  <si>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</si>
  <si>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</si>
  <si>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</si>
  <si>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</si>
  <si>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</si>
  <si>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</si>
  <si>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</si>
  <si>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</si>
  <si>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</si>
  <si>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</si>
  <si>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</si>
  <si>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</si>
  <si>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</si>
  <si>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</si>
  <si>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</si>
  <si>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</si>
  <si>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</si>
  <si>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</si>
  <si>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</si>
  <si>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</si>
  <si>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</si>
  <si>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</si>
  <si>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</si>
  <si>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</si>
  <si>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</si>
  <si>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</si>
  <si>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</si>
  <si>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</si>
  <si>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</si>
  <si>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</si>
  <si>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</si>
  <si>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</si>
  <si>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</si>
  <si>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</si>
  <si>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</si>
  <si>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</si>
  <si>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</si>
  <si>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</si>
  <si>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</si>
  <si>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</si>
  <si>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</si>
  <si>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</si>
  <si>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</si>
  <si>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</si>
  <si>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</si>
  <si>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</si>
  <si>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</si>
  <si>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</si>
  <si>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</si>
  <si>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</si>
  <si>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</si>
  <si>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</si>
  <si>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</si>
  <si>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</si>
  <si>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</si>
  <si>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</si>
  <si>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</si>
  <si>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</si>
  <si>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</si>
  <si>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</si>
  <si>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</si>
  <si>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</si>
  <si>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</si>
  <si>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</si>
  <si>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</si>
  <si>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</si>
  <si>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</si>
  <si>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</si>
  <si>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</si>
  <si>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</si>
  <si>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</si>
  <si>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</si>
  <si>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</si>
  <si>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</si>
  <si>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</si>
  <si>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</si>
  <si>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</si>
  <si>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</si>
  <si>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</si>
  <si>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</si>
  <si>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</si>
  <si>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</si>
  <si>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</si>
  <si>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</si>
  <si>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</si>
  <si>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</si>
  <si>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</si>
  <si>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</si>
  <si>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</si>
  <si>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</si>
  <si>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</si>
  <si>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</si>
  <si>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</si>
  <si>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</si>
  <si>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</si>
  <si>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</si>
  <si>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</si>
  <si>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</si>
  <si>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</si>
  <si>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</si>
  <si>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</si>
  <si>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</si>
  <si>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</si>
  <si>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</si>
  <si>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</si>
  <si>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</si>
  <si>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</si>
  <si>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</si>
  <si>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</si>
  <si>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</si>
  <si>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</si>
  <si>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</si>
  <si>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</si>
  <si>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</si>
  <si>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</si>
  <si>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</si>
  <si>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</si>
  <si>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</si>
  <si>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</si>
  <si>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</si>
  <si>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</si>
  <si>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</si>
  <si>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</si>
  <si>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</si>
  <si>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</si>
  <si>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</si>
  <si>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</si>
  <si>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</si>
  <si>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</si>
  <si>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</si>
  <si>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</si>
  <si>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</si>
  <si>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</si>
  <si>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</si>
  <si>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</si>
  <si>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</si>
  <si>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</si>
  <si>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</si>
  <si>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</si>
  <si>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</si>
  <si>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</si>
  <si>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</si>
  <si>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</si>
  <si>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</si>
  <si>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</si>
  <si>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</si>
  <si>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</si>
  <si>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</si>
  <si>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</si>
  <si>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</si>
  <si>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</si>
  <si>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</si>
  <si>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</si>
  <si>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</si>
  <si>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</si>
  <si>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</si>
  <si>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</si>
  <si>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</si>
  <si>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</si>
  <si>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</si>
  <si>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</si>
  <si>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</si>
  <si>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</si>
  <si>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</si>
  <si>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</si>
  <si>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</si>
  <si>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</si>
  <si>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</si>
  <si>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</si>
  <si>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</si>
  <si>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</si>
  <si>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</si>
  <si>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</si>
  <si>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</si>
  <si>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</si>
  <si>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</si>
  <si>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</si>
  <si>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</si>
  <si>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</si>
  <si>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</si>
  <si>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</si>
  <si>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</si>
  <si>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</si>
  <si>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</si>
  <si>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</si>
  <si>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</si>
  <si>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</si>
  <si>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</si>
  <si>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</si>
  <si>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</si>
  <si>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</si>
  <si>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</si>
  <si>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</si>
  <si>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</si>
  <si>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</si>
  <si>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</si>
  <si>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</si>
  <si>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</si>
  <si>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</si>
  <si>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</si>
  <si>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</si>
  <si>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</si>
  <si>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</si>
  <si>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</si>
  <si>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</si>
  <si>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</si>
  <si>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</si>
  <si>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</si>
  <si>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</si>
  <si>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</si>
  <si>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</si>
  <si>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</si>
  <si>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</si>
  <si>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</si>
  <si>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</si>
  <si>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</si>
  <si>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</si>
  <si>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</si>
  <si>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</si>
  <si>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</si>
  <si>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</si>
  <si>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</si>
  <si>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</si>
  <si>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</si>
  <si>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</si>
  <si>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</si>
  <si>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</si>
  <si>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</si>
  <si>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</si>
  <si>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</si>
  <si>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</si>
  <si>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</si>
  <si>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</si>
  <si>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</si>
  <si>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</si>
  <si>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</si>
  <si>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</si>
  <si>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</si>
  <si>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</si>
  <si>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</si>
  <si>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</si>
  <si>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</si>
  <si>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</si>
  <si>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</si>
  <si>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</si>
  <si>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</si>
  <si>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</si>
  <si>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</si>
  <si>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</si>
  <si>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</si>
  <si>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</si>
  <si>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</si>
  <si>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</si>
  <si>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</si>
  <si>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</si>
  <si>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</si>
  <si>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</si>
  <si>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</si>
  <si>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</si>
  <si>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</si>
  <si>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</si>
  <si>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</si>
  <si>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</si>
  <si>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</si>
  <si>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</si>
  <si>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</si>
  <si>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</si>
  <si>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</si>
  <si>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</si>
  <si>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</si>
  <si>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</si>
  <si>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</si>
  <si>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</si>
  <si>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</si>
  <si>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</si>
  <si>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</si>
  <si>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</si>
  <si>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</si>
  <si>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</si>
  <si>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</si>
  <si>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</si>
  <si>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</si>
  <si>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</si>
  <si>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</si>
  <si>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</si>
  <si>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</si>
  <si>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</si>
  <si>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</si>
  <si>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</si>
  <si>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</si>
  <si>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</si>
  <si>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</si>
  <si>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</si>
  <si>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</si>
  <si>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</si>
  <si>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</si>
  <si>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</si>
  <si>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</si>
  <si>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</si>
  <si>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</si>
  <si>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</si>
  <si>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</si>
  <si>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</si>
  <si>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</si>
  <si>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</si>
  <si>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</si>
  <si>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</si>
  <si>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</si>
  <si>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</si>
  <si>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</si>
  <si>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</si>
  <si>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</si>
  <si>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</si>
  <si>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</si>
  <si>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</si>
  <si>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</si>
  <si>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</si>
  <si>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</si>
  <si>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</si>
  <si>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</si>
  <si>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</si>
  <si>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</si>
  <si>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</si>
  <si>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</si>
  <si>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</si>
  <si>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</si>
  <si>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</si>
  <si>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</si>
  <si>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</si>
  <si>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</si>
  <si>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</si>
  <si>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</si>
  <si>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</si>
  <si>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</si>
  <si>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</si>
  <si>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</si>
  <si>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</si>
  <si>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</si>
  <si>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</si>
  <si>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</si>
  <si>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</si>
  <si>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</si>
  <si>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</si>
  <si>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</si>
  <si>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</si>
  <si>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</si>
  <si>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</si>
  <si>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</si>
  <si>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</si>
  <si>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</si>
  <si>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</si>
  <si>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</si>
  <si>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</si>
  <si>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</si>
  <si>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</si>
  <si>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</si>
  <si>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</si>
  <si>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</si>
  <si>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</si>
  <si>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</si>
  <si>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</si>
  <si>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</si>
  <si>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</si>
  <si>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</si>
  <si>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</si>
  <si>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</si>
  <si>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</si>
  <si>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</si>
  <si>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</si>
  <si>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</si>
  <si>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</si>
  <si>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</si>
  <si>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</si>
  <si>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</si>
  <si>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</si>
  <si>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</si>
  <si>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</si>
  <si>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</si>
  <si>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</si>
  <si>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</si>
  <si>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</si>
  <si>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</si>
  <si>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</si>
  <si>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</si>
  <si>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</si>
  <si>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</si>
  <si>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</si>
  <si>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</si>
  <si>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</si>
  <si>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</si>
  <si>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</si>
  <si>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</si>
  <si>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</si>
  <si>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</si>
  <si>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</si>
  <si>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</si>
  <si>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</si>
  <si>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</si>
  <si>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</si>
  <si>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</si>
  <si>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</si>
  <si>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</si>
  <si>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</si>
  <si>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</si>
  <si>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</si>
  <si>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</si>
  <si>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</si>
  <si>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</si>
  <si>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</si>
  <si>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</si>
  <si>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</si>
  <si>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</si>
  <si>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</si>
  <si>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</si>
  <si>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</si>
  <si>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</si>
  <si>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</si>
  <si>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</si>
  <si>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</si>
  <si>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</si>
  <si>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</si>
  <si>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</si>
  <si>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</si>
  <si>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</si>
  <si>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</si>
  <si>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</si>
  <si>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</si>
  <si>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</si>
  <si>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</si>
  <si>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</si>
  <si>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</si>
  <si>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</si>
  <si>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</si>
  <si>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</si>
  <si>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</si>
  <si>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</si>
  <si>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</si>
  <si>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</si>
  <si>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</si>
  <si>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</si>
  <si>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</si>
  <si>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</si>
  <si>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</si>
  <si>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</si>
  <si>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</si>
  <si>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</si>
  <si>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</si>
  <si>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</si>
  <si>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</si>
  <si>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</si>
  <si>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</si>
  <si>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</si>
  <si>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</si>
  <si>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</si>
  <si>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</si>
  <si>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</si>
  <si>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</si>
  <si>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</si>
  <si>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</si>
  <si>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</si>
  <si>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</si>
  <si>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</si>
  <si>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</si>
  <si>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</si>
  <si>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</si>
  <si>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</si>
  <si>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</si>
  <si>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</si>
  <si>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</si>
  <si>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</si>
  <si>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</si>
  <si>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</si>
  <si>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</si>
  <si>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</si>
  <si>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</si>
  <si>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</si>
  <si>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</si>
  <si>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</si>
  <si>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</si>
  <si>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</si>
  <si>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</si>
  <si>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</si>
  <si>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</si>
  <si>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</si>
  <si>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</si>
  <si>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</si>
  <si>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</si>
  <si>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</si>
  <si>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</si>
  <si>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</si>
  <si>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</si>
  <si>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</si>
  <si>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</si>
  <si>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</si>
  <si>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</si>
  <si>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</si>
  <si>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</si>
  <si>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</si>
  <si>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</si>
  <si>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</si>
  <si>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</si>
  <si>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</si>
  <si>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</si>
  <si>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</si>
  <si>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</si>
  <si>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</si>
  <si>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</si>
  <si>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</si>
  <si>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</si>
  <si>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</si>
  <si>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</si>
  <si>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</si>
  <si>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</si>
  <si>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</si>
  <si>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</si>
  <si>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</si>
  <si>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</si>
  <si>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</si>
  <si>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</si>
  <si>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</si>
  <si>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</si>
  <si>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</si>
  <si>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</si>
  <si>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</si>
  <si>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</si>
  <si>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</si>
  <si>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</si>
  <si>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</si>
  <si>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</si>
  <si>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</si>
  <si>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</si>
  <si>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</si>
  <si>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</si>
  <si>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</si>
  <si>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</si>
  <si>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</si>
  <si>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</si>
  <si>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</si>
  <si>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</si>
  <si>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</si>
  <si>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</si>
  <si>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</si>
  <si>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</si>
  <si>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</si>
  <si>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</si>
  <si>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</si>
  <si>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</si>
  <si>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</si>
  <si>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</si>
  <si>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</si>
  <si>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</si>
  <si>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</si>
  <si>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</si>
  <si>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</si>
  <si>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</si>
  <si>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</si>
  <si>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</si>
  <si>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</si>
  <si>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</si>
  <si>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</si>
  <si>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</si>
  <si>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</si>
  <si>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</si>
  <si>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</si>
  <si>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</si>
  <si>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</si>
  <si>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</si>
  <si>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</si>
  <si>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</si>
  <si>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</si>
  <si>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</si>
  <si>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</si>
  <si>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</si>
  <si>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</si>
  <si>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</si>
  <si>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</si>
  <si>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</si>
  <si>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</si>
  <si>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</si>
  <si>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</si>
  <si>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</si>
  <si>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</si>
  <si>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</si>
  <si>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</si>
  <si>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</si>
  <si>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</si>
  <si>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</si>
  <si>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</si>
  <si>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</si>
  <si>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</si>
  <si>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</si>
  <si>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</si>
  <si>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</si>
  <si>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</si>
  <si>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</si>
  <si>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</si>
  <si>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</si>
  <si>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</si>
  <si>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</si>
  <si>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</si>
  <si>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</si>
  <si>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</si>
  <si>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</si>
  <si>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</si>
  <si>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</si>
  <si>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</si>
  <si>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</si>
  <si>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</si>
  <si>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</si>
  <si>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</si>
  <si>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</si>
  <si>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</si>
  <si>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</si>
  <si>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</si>
  <si>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</si>
  <si>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</si>
  <si>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</si>
  <si>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</si>
  <si>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</si>
  <si>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</si>
  <si>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</si>
  <si>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</si>
  <si>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</si>
  <si>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</si>
  <si>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</si>
  <si>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</si>
  <si>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</si>
  <si>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</si>
  <si>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</si>
  <si>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</si>
  <si>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</si>
  <si>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</si>
  <si>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</si>
  <si>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</si>
  <si>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</si>
  <si>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</si>
  <si>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</si>
  <si>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</si>
  <si>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</si>
  <si>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</si>
  <si>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</si>
  <si>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</si>
  <si>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</si>
  <si>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</si>
  <si>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</si>
  <si>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</si>
  <si>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</si>
  <si>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</si>
  <si>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</si>
  <si>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</si>
  <si>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</si>
  <si>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</si>
  <si>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</si>
  <si>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</si>
  <si>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</si>
  <si>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</si>
  <si>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</si>
  <si>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</si>
  <si>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</si>
  <si>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</si>
  <si>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</si>
  <si>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</si>
  <si>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</si>
  <si>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</si>
  <si>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</si>
  <si>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</si>
  <si>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</si>
  <si>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</si>
  <si>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</si>
  <si>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</si>
  <si>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</si>
  <si>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</si>
  <si>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</si>
  <si>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</si>
  <si>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</si>
  <si>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</si>
  <si>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</si>
  <si>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</si>
  <si>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</si>
  <si>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</si>
  <si>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</si>
  <si>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</si>
  <si>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</si>
  <si>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</si>
  <si>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</si>
  <si>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</si>
  <si>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</si>
  <si>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</si>
  <si>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</si>
  <si>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</si>
  <si>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</si>
  <si>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</si>
  <si>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</si>
  <si>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</si>
  <si>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</si>
  <si>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</si>
  <si>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</si>
  <si>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</si>
  <si>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</si>
  <si>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</si>
  <si>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</si>
  <si>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</si>
  <si>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</si>
  <si>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</si>
  <si>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</si>
  <si>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</si>
  <si>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</si>
  <si>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</si>
  <si>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</si>
  <si>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</si>
  <si>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</si>
  <si>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</si>
  <si>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</si>
  <si>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</si>
  <si>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</si>
  <si>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</si>
  <si>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</si>
  <si>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</si>
  <si>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</si>
  <si>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</si>
  <si>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</si>
  <si>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</si>
  <si>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</si>
  <si>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</si>
  <si>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</si>
  <si>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</si>
  <si>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</si>
  <si>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</si>
  <si>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</si>
  <si>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</si>
  <si>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</si>
  <si>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</si>
  <si>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</si>
  <si>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</si>
  <si>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</si>
  <si>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</si>
  <si>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</si>
  <si>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</si>
  <si>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</si>
  <si>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</si>
  <si>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</si>
  <si>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</si>
  <si>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</si>
  <si>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</si>
  <si>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</si>
  <si>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</si>
  <si>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</si>
  <si>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</si>
  <si>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</si>
  <si>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</si>
  <si>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</si>
  <si>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</si>
  <si>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</si>
  <si>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</si>
  <si>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</si>
  <si>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</si>
  <si>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</si>
  <si>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</si>
  <si>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</si>
  <si>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</si>
  <si>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</si>
  <si>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</si>
  <si>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</si>
  <si>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</si>
  <si>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</si>
  <si>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</si>
  <si>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</si>
  <si>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</si>
  <si>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</si>
  <si>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</si>
  <si>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</si>
  <si>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</si>
  <si>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</si>
  <si>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</si>
  <si>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</si>
  <si>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</si>
  <si>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</si>
  <si>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</si>
  <si>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</si>
  <si>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</si>
  <si>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</si>
  <si>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</si>
  <si>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</si>
  <si>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</si>
  <si>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</si>
  <si>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</si>
  <si>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</si>
  <si>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</si>
  <si>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</si>
  <si>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</si>
  <si>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</si>
  <si>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</si>
  <si>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</si>
  <si>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</si>
  <si>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</si>
  <si>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</si>
  <si>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</si>
  <si>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</si>
  <si>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</si>
  <si>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</si>
  <si>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</si>
  <si>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</si>
  <si>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</si>
  <si>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</si>
  <si>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</si>
  <si>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</si>
  <si>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</si>
  <si>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</si>
  <si>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</si>
  <si>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</si>
  <si>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</si>
  <si>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</si>
  <si>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</si>
  <si>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</si>
  <si>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</si>
  <si>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</si>
  <si>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</si>
  <si>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</si>
  <si>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</si>
  <si>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</si>
  <si>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</si>
  <si>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</si>
  <si>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</si>
  <si>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</si>
  <si>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</si>
  <si>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</si>
  <si>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</si>
  <si>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</si>
  <si>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</si>
  <si>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</si>
  <si>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</si>
  <si>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</si>
  <si>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</si>
  <si>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</si>
  <si>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</si>
  <si>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</si>
  <si>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</si>
  <si>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</si>
  <si>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</si>
  <si>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</si>
  <si>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</si>
  <si>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</si>
  <si>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</si>
  <si>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</si>
  <si>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</si>
  <si>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</si>
  <si>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</si>
  <si>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</si>
  <si>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</si>
  <si>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</si>
  <si>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</si>
  <si>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</si>
  <si>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</si>
  <si>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</si>
  <si>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</si>
  <si>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</si>
  <si>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</si>
  <si>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</si>
  <si>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</si>
  <si>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</si>
  <si>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</si>
  <si>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</si>
  <si>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</si>
  <si>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</si>
  <si>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</si>
  <si>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</si>
  <si>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</si>
  <si>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</si>
  <si>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</si>
  <si>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</si>
  <si>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</si>
  <si>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</si>
  <si>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</si>
  <si>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</si>
  <si>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</si>
  <si>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</si>
  <si>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</si>
  <si>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</si>
  <si>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</si>
  <si>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</si>
  <si>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</si>
  <si>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</si>
  <si>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</si>
  <si>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</si>
  <si>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</si>
  <si>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</si>
  <si>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</si>
  <si>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</si>
  <si>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</si>
  <si>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</si>
  <si>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</si>
  <si>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</si>
  <si>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</si>
  <si>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</si>
  <si>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</si>
  <si>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</si>
  <si>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</si>
  <si>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</si>
  <si>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</si>
  <si>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</si>
  <si>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</si>
  <si>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</si>
  <si>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</si>
  <si>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</si>
  <si>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</si>
  <si>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</si>
  <si>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</si>
  <si>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</si>
  <si>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</si>
  <si>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</si>
  <si>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</si>
  <si>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</si>
  <si>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</si>
  <si>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</si>
  <si>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</si>
  <si>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</si>
  <si>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</si>
  <si>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</si>
  <si>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</si>
  <si>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</si>
  <si>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</si>
  <si>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</si>
  <si>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</si>
  <si>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</si>
  <si>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</si>
  <si>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</si>
  <si>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</si>
  <si>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</si>
  <si>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</si>
  <si>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</si>
  <si>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</si>
  <si>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</si>
  <si>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</si>
  <si>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</si>
  <si>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</si>
  <si>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</si>
  <si>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</si>
  <si>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</si>
  <si>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</si>
  <si>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</si>
  <si>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</si>
  <si>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</si>
  <si>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</si>
  <si>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</si>
  <si>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</si>
  <si>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</si>
  <si>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</si>
  <si>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</si>
  <si>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</si>
  <si>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</si>
  <si>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</si>
  <si>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</si>
  <si>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</si>
  <si>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</si>
  <si>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</si>
  <si>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</si>
  <si>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</si>
  <si>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</si>
  <si>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</si>
  <si>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</si>
  <si>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</si>
  <si>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</si>
  <si>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</si>
  <si>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</si>
  <si>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</si>
  <si>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</si>
  <si>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</si>
  <si>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</si>
  <si>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</si>
  <si>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</si>
  <si>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</si>
  <si>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</si>
  <si>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</si>
  <si>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</si>
  <si>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</si>
  <si>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</si>
  <si>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</si>
  <si>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</si>
  <si>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</si>
  <si>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</si>
  <si>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</si>
  <si>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</si>
  <si>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</si>
  <si>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</si>
  <si>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</si>
  <si>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</si>
  <si>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</si>
  <si>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</si>
  <si>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</si>
  <si>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</si>
  <si>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</si>
  <si>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</si>
  <si>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</si>
  <si>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</si>
  <si>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</si>
  <si>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</si>
  <si>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</si>
  <si>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</si>
  <si>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</si>
  <si>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</si>
  <si>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</si>
  <si>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</si>
  <si>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</si>
  <si>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</si>
  <si>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</si>
  <si>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</si>
  <si>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</si>
  <si>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</si>
  <si>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</si>
  <si>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</si>
  <si>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</si>
  <si>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</si>
  <si>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</si>
  <si>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</si>
  <si>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</si>
  <si>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</si>
  <si>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</si>
  <si>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</si>
  <si>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</si>
  <si>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</si>
  <si>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</si>
  <si>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</si>
  <si>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</si>
  <si>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</si>
  <si>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</si>
  <si>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</si>
  <si>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</si>
  <si>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</si>
  <si>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</si>
  <si>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</si>
  <si>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</si>
  <si>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</si>
  <si>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</si>
  <si>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</si>
  <si>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</si>
  <si>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</si>
  <si>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</si>
  <si>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</si>
  <si>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</si>
  <si>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</si>
  <si>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</si>
  <si>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</si>
  <si>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</si>
  <si>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</si>
  <si>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</si>
  <si>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</si>
  <si>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</si>
  <si>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</si>
  <si>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</si>
  <si>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</si>
  <si>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</si>
  <si>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</si>
  <si>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</si>
  <si>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</si>
  <si>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</si>
  <si>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</si>
  <si>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</si>
  <si>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</si>
  <si>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</si>
  <si>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</si>
  <si>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</si>
  <si>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</si>
  <si>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</si>
  <si>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</si>
  <si>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</si>
  <si>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</si>
  <si>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</si>
  <si>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</si>
  <si>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</si>
  <si>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</si>
  <si>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</si>
  <si>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</si>
  <si>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</si>
  <si>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</si>
  <si>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</si>
  <si>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</si>
  <si>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</si>
  <si>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</si>
  <si>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</si>
  <si>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</si>
  <si>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</si>
  <si>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</si>
  <si>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</si>
  <si>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</si>
  <si>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</si>
  <si>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</si>
  <si>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</si>
  <si>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</si>
  <si>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</si>
  <si>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</si>
  <si>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</si>
  <si>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</si>
  <si>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</si>
  <si>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</si>
  <si>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</si>
  <si>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</si>
  <si>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</si>
  <si>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</si>
  <si>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</si>
  <si>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</si>
  <si>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</si>
  <si>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</si>
  <si>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</si>
  <si>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</si>
  <si>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</si>
  <si>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</si>
  <si>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</si>
  <si>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</si>
  <si>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</si>
  <si>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</si>
  <si>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</si>
  <si>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</si>
  <si>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</si>
  <si>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</si>
  <si>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</si>
  <si>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</si>
  <si>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</si>
  <si>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</si>
  <si>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</si>
  <si>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</si>
  <si>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</si>
  <si>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</si>
  <si>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</si>
  <si>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</si>
  <si>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</si>
  <si>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</si>
  <si>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</si>
  <si>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</si>
  <si>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</si>
  <si>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</si>
  <si>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</si>
  <si>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</si>
  <si>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</si>
  <si>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</si>
  <si>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</si>
  <si>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</si>
  <si>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</si>
  <si>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</si>
  <si>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</si>
  <si>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</si>
  <si>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</si>
  <si>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</si>
  <si>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</si>
  <si>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</si>
  <si>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</si>
  <si>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</si>
  <si>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</si>
  <si>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</si>
  <si>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</si>
  <si>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</si>
  <si>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</si>
  <si>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</si>
  <si>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</si>
  <si>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</si>
  <si>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</si>
  <si>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</si>
  <si>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</si>
  <si>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</si>
  <si>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</si>
  <si>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</si>
  <si>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</si>
  <si>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</si>
  <si>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</si>
  <si>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</si>
  <si>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</si>
  <si>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</si>
  <si>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</si>
  <si>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</si>
  <si>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</si>
  <si>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</si>
  <si>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</si>
  <si>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</si>
  <si>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</si>
  <si>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</si>
  <si>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</si>
  <si>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</si>
  <si>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</si>
  <si>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</si>
  <si>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</si>
  <si>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</si>
  <si>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</si>
  <si>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</si>
  <si>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</si>
  <si>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</si>
  <si>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</si>
  <si>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</si>
  <si>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</si>
  <si>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</si>
  <si>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</si>
  <si>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</si>
  <si>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</si>
  <si>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</si>
  <si>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</si>
  <si>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</si>
  <si>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</si>
  <si>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</si>
  <si>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</si>
  <si>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</si>
  <si>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</si>
  <si>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</si>
  <si>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</si>
  <si>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</si>
  <si>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</si>
  <si>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</si>
  <si>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</si>
  <si>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</si>
  <si>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</si>
  <si>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</si>
  <si>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</si>
  <si>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</si>
  <si>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</si>
  <si>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</si>
  <si>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</si>
  <si>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</si>
  <si>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</si>
  <si>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</si>
  <si>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</si>
  <si>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</si>
  <si>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</si>
  <si>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</si>
  <si>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</si>
  <si>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</si>
  <si>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</si>
  <si>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</si>
  <si>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</si>
  <si>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</si>
  <si>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</si>
  <si>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</si>
  <si>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</si>
  <si>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</si>
  <si>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</si>
  <si>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</si>
  <si>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</si>
  <si>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</si>
  <si>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</si>
  <si>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</si>
  <si>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</si>
  <si>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</si>
  <si>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</si>
  <si>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</si>
  <si>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</si>
  <si>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</si>
  <si>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</si>
  <si>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</si>
  <si>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</si>
  <si>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</si>
  <si>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</si>
  <si>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</si>
  <si>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</si>
  <si>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</si>
  <si>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</si>
  <si>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</si>
  <si>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</si>
  <si>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</si>
  <si>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</si>
  <si>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</si>
  <si>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</si>
  <si>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</si>
  <si>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</si>
  <si>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</si>
  <si>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</si>
  <si>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</si>
  <si>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</si>
  <si>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</si>
  <si>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</si>
  <si>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</si>
  <si>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</si>
  <si>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</si>
  <si>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</si>
  <si>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</si>
  <si>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</si>
  <si>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</si>
  <si>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</si>
  <si>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</si>
  <si>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</si>
  <si>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</si>
  <si>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</si>
  <si>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</si>
  <si>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</si>
  <si>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</si>
  <si>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</si>
  <si>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</si>
  <si>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</si>
  <si>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</si>
  <si>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</si>
  <si>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</si>
  <si>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</si>
  <si>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</si>
  <si>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</si>
  <si>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</si>
  <si>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</si>
  <si>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</si>
  <si>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</si>
  <si>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</si>
  <si>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</si>
  <si>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</si>
  <si>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</si>
  <si>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</si>
  <si>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</si>
  <si>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</si>
  <si>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</si>
  <si>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</si>
  <si>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</si>
  <si>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</si>
  <si>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</si>
  <si>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</si>
  <si>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</si>
  <si>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</si>
  <si>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</si>
  <si>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</si>
  <si>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</si>
  <si>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</si>
  <si>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</si>
  <si>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</si>
  <si>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</si>
  <si>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</si>
  <si>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</si>
  <si>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</si>
  <si>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</si>
  <si>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</si>
  <si>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</si>
  <si>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</si>
  <si>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</si>
  <si>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</si>
  <si>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</si>
  <si>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</si>
  <si>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</si>
  <si>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</si>
  <si>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</si>
  <si>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</si>
  <si>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</si>
  <si>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</si>
  <si>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</si>
  <si>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</si>
  <si>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</si>
  <si>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</si>
  <si>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</si>
  <si>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</si>
  <si>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</si>
  <si>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</si>
  <si>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</si>
  <si>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</si>
  <si>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</si>
  <si>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</si>
  <si>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</si>
  <si>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</si>
  <si>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</si>
  <si>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</si>
  <si>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</si>
  <si>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</si>
  <si>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</si>
  <si>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</si>
  <si>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</si>
  <si>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</si>
  <si>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</si>
  <si>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</si>
  <si>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</si>
  <si>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</si>
  <si>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</si>
  <si>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</si>
  <si>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</si>
  <si>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</si>
  <si>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</si>
  <si>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</si>
  <si>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</si>
  <si>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</si>
  <si>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</si>
  <si>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</si>
  <si>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</si>
  <si>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</si>
  <si>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</si>
  <si>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</si>
  <si>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</si>
  <si>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</si>
  <si>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</si>
  <si>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</si>
  <si>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</si>
  <si>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</si>
  <si>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</si>
  <si>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</si>
  <si>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</si>
  <si>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</si>
  <si>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</si>
  <si>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</si>
  <si>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</si>
  <si>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</si>
  <si>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</si>
  <si>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</si>
  <si>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</si>
  <si>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</si>
  <si>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</si>
  <si>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</si>
  <si>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</si>
  <si>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</si>
  <si>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</si>
  <si>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</si>
  <si>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</si>
  <si>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</si>
  <si>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</si>
  <si>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</si>
  <si>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</si>
  <si>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</si>
  <si>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</si>
  <si>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</si>
  <si>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</si>
  <si>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</si>
  <si>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</si>
  <si>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</si>
  <si>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</si>
  <si>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</si>
  <si>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</si>
  <si>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</si>
  <si>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</si>
  <si>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</si>
  <si>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</si>
  <si>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</si>
  <si>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</si>
  <si>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</si>
  <si>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</si>
  <si>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</si>
  <si>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</si>
  <si>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</si>
  <si>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</si>
  <si>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</si>
  <si>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</si>
  <si>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</si>
  <si>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</si>
  <si>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</si>
  <si>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</si>
  <si>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</si>
  <si>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</si>
  <si>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</si>
  <si>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</si>
  <si>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</si>
  <si>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</si>
  <si>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</si>
  <si>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</si>
  <si>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</si>
  <si>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</si>
  <si>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</si>
  <si>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</si>
  <si>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</si>
  <si>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</si>
  <si>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</si>
  <si>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</si>
  <si>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</si>
  <si>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</si>
  <si>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</si>
  <si>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</si>
  <si>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</si>
  <si>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</si>
  <si>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</si>
  <si>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</si>
  <si>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</si>
  <si>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</si>
  <si>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</si>
  <si>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</si>
  <si>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</si>
  <si>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</si>
  <si>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</si>
  <si>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</si>
  <si>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</si>
  <si>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</si>
  <si>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</si>
  <si>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</si>
  <si>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</si>
  <si>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</si>
  <si>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</si>
  <si>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</si>
  <si>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</si>
  <si>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</si>
  <si>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</si>
  <si>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</si>
  <si>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</si>
  <si>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</si>
  <si>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</si>
  <si>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</si>
  <si>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</si>
  <si>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</si>
  <si>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</si>
  <si>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</si>
  <si>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</si>
  <si>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</si>
  <si>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</si>
  <si>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</si>
  <si>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</si>
  <si>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</si>
  <si>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</si>
  <si>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</si>
  <si>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</si>
  <si>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</si>
  <si>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</si>
  <si>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</si>
  <si>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</si>
  <si>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</si>
  <si>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</si>
  <si>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</si>
  <si>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</si>
  <si>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</si>
  <si>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</si>
  <si>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</si>
  <si>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</si>
  <si>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</si>
  <si>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</si>
  <si>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</si>
  <si>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</si>
  <si>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</si>
  <si>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</si>
  <si>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</si>
  <si>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</si>
  <si>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</si>
  <si>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</si>
  <si>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</si>
  <si>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</si>
  <si>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</si>
  <si>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</si>
  <si>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</si>
  <si>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</si>
  <si>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</si>
  <si>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</si>
  <si>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</si>
  <si>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</si>
  <si>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</si>
  <si>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</si>
  <si>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</si>
  <si>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</si>
  <si>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</si>
  <si>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</si>
  <si>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</si>
  <si>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</si>
  <si>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</si>
  <si>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</si>
  <si>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</si>
  <si>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</si>
  <si>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</si>
  <si>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</si>
  <si>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</si>
  <si>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</si>
  <si>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</si>
  <si>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</si>
  <si>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</si>
  <si>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</si>
  <si>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</si>
  <si>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</si>
  <si>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</si>
  <si>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</si>
  <si>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</si>
  <si>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</si>
  <si>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</si>
  <si>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</si>
  <si>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</si>
  <si>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</si>
  <si>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</si>
  <si>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</si>
  <si>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</si>
  <si>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</si>
  <si>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</si>
  <si>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</si>
  <si>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</si>
  <si>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</si>
  <si>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</si>
  <si>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</si>
  <si>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</si>
  <si>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</si>
  <si>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</si>
  <si>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</si>
  <si>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</si>
  <si>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</si>
  <si>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</si>
  <si>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</si>
  <si>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</si>
  <si>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</si>
  <si>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</si>
  <si>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</si>
  <si>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</si>
  <si>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</si>
  <si>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</si>
  <si>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</si>
  <si>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</si>
  <si>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</si>
  <si>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</si>
  <si>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</si>
  <si>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</si>
  <si>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</si>
  <si>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</si>
  <si>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</si>
  <si>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</si>
  <si>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</si>
  <si>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</si>
  <si>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</si>
  <si>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</si>
  <si>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</si>
  <si>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</si>
  <si>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</si>
  <si>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</si>
  <si>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</si>
  <si>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</si>
  <si>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</si>
  <si>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</si>
  <si>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</si>
  <si>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</si>
  <si>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</si>
  <si>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</si>
  <si>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</si>
  <si>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</si>
  <si>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</si>
  <si>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</si>
  <si>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</si>
  <si>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</si>
  <si>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</si>
  <si>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</si>
  <si>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</si>
  <si>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</si>
  <si>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</si>
  <si>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</si>
  <si>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</si>
  <si>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</si>
  <si>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</si>
  <si>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</si>
  <si>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</si>
  <si>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</si>
  <si>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</si>
  <si>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</si>
  <si>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</si>
  <si>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</si>
  <si>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</si>
  <si>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</si>
  <si>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</si>
  <si>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</si>
  <si>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</si>
  <si>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</si>
  <si>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</si>
  <si>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</si>
  <si>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</si>
  <si>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</si>
  <si>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</si>
  <si>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</si>
  <si>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</si>
  <si>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</si>
  <si>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</si>
  <si>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</si>
  <si>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</si>
  <si>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</si>
  <si>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</si>
  <si>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</si>
  <si>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</si>
  <si>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</si>
  <si>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</si>
  <si>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</si>
  <si>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</si>
  <si>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</si>
  <si>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</si>
  <si>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</si>
  <si>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</si>
  <si>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</si>
  <si>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</si>
  <si>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</si>
  <si>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</si>
  <si>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</si>
  <si>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</si>
  <si>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</si>
  <si>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</si>
  <si>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</si>
  <si>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</si>
  <si>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</si>
  <si>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</si>
  <si>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</si>
  <si>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</si>
  <si>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</si>
  <si>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</si>
  <si>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</si>
  <si>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</si>
  <si>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</si>
  <si>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</si>
  <si>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</si>
  <si>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</si>
  <si>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</si>
  <si>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</si>
  <si>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</si>
  <si>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</si>
  <si>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</si>
  <si>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</si>
  <si>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</si>
  <si>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</si>
  <si>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</si>
  <si>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</si>
  <si>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</si>
  <si>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</si>
  <si>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</si>
  <si>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</si>
  <si>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</si>
  <si>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</si>
  <si>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</si>
  <si>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</si>
  <si>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</si>
  <si>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</si>
  <si>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</si>
  <si>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</si>
  <si>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</si>
  <si>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</si>
  <si>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</si>
  <si>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</si>
  <si>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</si>
  <si>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</si>
  <si>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</si>
  <si>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</si>
  <si>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</si>
  <si>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</si>
  <si>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</si>
  <si>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</si>
  <si>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</si>
  <si>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</si>
  <si>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</si>
  <si>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</si>
  <si>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</si>
  <si>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</si>
  <si>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</si>
  <si>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</si>
  <si>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</si>
  <si>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</si>
  <si>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</si>
  <si>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</si>
  <si>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</si>
  <si>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</si>
  <si>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</si>
  <si>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</si>
  <si>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</si>
  <si>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</si>
  <si>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</si>
  <si>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</si>
  <si>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</si>
  <si>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</si>
  <si>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</si>
  <si>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</si>
  <si>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</si>
  <si>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</si>
  <si>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</si>
  <si>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</si>
  <si>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</si>
  <si>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</si>
  <si>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</si>
  <si>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</si>
  <si>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</si>
  <si>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</si>
  <si>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</si>
  <si>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</si>
  <si>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</si>
  <si>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</si>
  <si>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</si>
  <si>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</si>
  <si>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</si>
  <si>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</si>
  <si>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</si>
  <si>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</si>
  <si>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</si>
  <si>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</si>
  <si>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</si>
  <si>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</si>
  <si>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</si>
  <si>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</si>
  <si>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</si>
  <si>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</si>
  <si>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</si>
  <si>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</si>
  <si>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</si>
  <si>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</si>
  <si>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</si>
  <si>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</si>
  <si>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</si>
  <si>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</si>
  <si>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</si>
  <si>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</si>
  <si>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</si>
  <si>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</si>
  <si>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</si>
  <si>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</si>
  <si>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</si>
  <si>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</si>
  <si>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</si>
  <si>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</si>
  <si>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</si>
  <si>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</si>
  <si>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</si>
  <si>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</si>
  <si>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</si>
  <si>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</si>
  <si>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</si>
  <si>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</si>
  <si>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</si>
  <si>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</si>
  <si>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</si>
  <si>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</si>
  <si>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</si>
  <si>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</si>
  <si>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</si>
  <si>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</si>
  <si>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</si>
  <si>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</si>
  <si>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</si>
  <si>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</si>
  <si>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</si>
  <si>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</si>
  <si>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</si>
  <si>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</si>
  <si>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</si>
  <si>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</si>
  <si>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</si>
  <si>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</si>
  <si>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</si>
  <si>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</si>
  <si>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</si>
  <si>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</si>
  <si>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</si>
  <si>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</si>
  <si>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</si>
  <si>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</si>
  <si>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</si>
  <si>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</si>
  <si>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</si>
  <si>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</si>
  <si>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</si>
  <si>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</si>
  <si>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</si>
  <si>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</si>
  <si>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</si>
  <si>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</si>
  <si>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</si>
  <si>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</si>
  <si>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</si>
  <si>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</si>
  <si>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</si>
  <si>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</si>
  <si>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</si>
  <si>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</si>
  <si>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</si>
  <si>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</si>
  <si>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</si>
  <si>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</si>
  <si>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</si>
  <si>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</si>
  <si>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</si>
  <si>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</si>
  <si>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</si>
  <si>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</si>
  <si>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</si>
  <si>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</si>
  <si>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</si>
  <si>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</si>
  <si>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</si>
  <si>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</si>
  <si>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</si>
  <si>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</si>
  <si>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</si>
  <si>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</si>
  <si>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</si>
  <si>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</si>
  <si>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</si>
  <si>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</si>
  <si>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</si>
  <si>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</si>
  <si>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</si>
  <si>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</si>
  <si>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</si>
  <si>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</si>
  <si>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</si>
  <si>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</si>
  <si>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</si>
  <si>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</si>
  <si>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</si>
  <si>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</si>
  <si>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</si>
  <si>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</si>
  <si>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</si>
  <si>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</si>
  <si>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</si>
  <si>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</si>
  <si>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</si>
  <si>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</si>
  <si>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</si>
  <si>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</si>
  <si>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</si>
  <si>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</si>
  <si>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</si>
  <si>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</si>
  <si>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</si>
  <si>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</si>
  <si>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</si>
  <si>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</si>
  <si>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</si>
  <si>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</si>
  <si>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</si>
  <si>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</si>
  <si>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</si>
  <si>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</si>
  <si>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</si>
  <si>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</si>
  <si>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</si>
  <si>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</si>
  <si>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</si>
  <si>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</si>
  <si>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</si>
  <si>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</si>
  <si>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</si>
  <si>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</si>
  <si>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</si>
  <si>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</si>
  <si>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</si>
  <si>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</si>
  <si>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</si>
  <si>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</si>
  <si>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</si>
  <si>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</si>
  <si>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</si>
  <si>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</si>
  <si>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</si>
  <si>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</si>
  <si>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</si>
  <si>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</si>
  <si>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</si>
  <si>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</si>
  <si>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</si>
  <si>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</si>
  <si>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</si>
  <si>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</si>
  <si>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</si>
  <si>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</si>
  <si>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</si>
  <si>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</si>
  <si>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</si>
  <si>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</si>
  <si>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</si>
  <si>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</si>
  <si>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</si>
  <si>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</si>
  <si>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</si>
  <si>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</si>
  <si>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</si>
  <si>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</si>
  <si>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</si>
  <si>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</si>
  <si>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</si>
  <si>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</si>
  <si>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</si>
  <si>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</si>
  <si>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</si>
  <si>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</si>
  <si>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</si>
  <si>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</si>
  <si>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</si>
  <si>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</si>
  <si>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</si>
  <si>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</si>
  <si>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</si>
  <si>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</si>
  <si>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</si>
  <si>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</si>
  <si>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</si>
  <si>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</si>
  <si>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</si>
  <si>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</si>
  <si>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</si>
  <si>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</si>
  <si>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</si>
  <si>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</si>
  <si>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</si>
  <si>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</si>
  <si>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</si>
  <si>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</si>
  <si>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</si>
  <si>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</si>
  <si>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</si>
  <si>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</si>
  <si>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</si>
  <si>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</si>
  <si>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</si>
  <si>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</si>
  <si>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</si>
  <si>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</si>
  <si>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</si>
  <si>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</si>
  <si>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</si>
  <si>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</si>
  <si>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</si>
  <si>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</si>
  <si>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</si>
  <si>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</si>
  <si>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</si>
  <si>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</si>
  <si>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</si>
  <si>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</si>
  <si>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</si>
  <si>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</si>
  <si>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</si>
  <si>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</si>
  <si>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</si>
  <si>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</si>
  <si>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</si>
  <si>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</si>
  <si>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</si>
  <si>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</si>
  <si>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</si>
  <si>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</si>
  <si>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</si>
  <si>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</si>
  <si>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</si>
  <si>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</si>
  <si>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</si>
  <si>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</si>
  <si>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</si>
  <si>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</si>
  <si>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</si>
  <si>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</si>
  <si>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</si>
  <si>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</si>
  <si>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</si>
  <si>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</si>
  <si>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</si>
  <si>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</si>
  <si>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</si>
  <si>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</si>
  <si>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</si>
  <si>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</si>
  <si>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</si>
  <si>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</si>
  <si>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</si>
  <si>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</si>
  <si>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</si>
  <si>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</si>
  <si>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</si>
  <si>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</si>
  <si>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</si>
  <si>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</si>
  <si>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</si>
  <si>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</si>
  <si>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</si>
  <si>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</si>
  <si>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</si>
  <si>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</si>
  <si>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</si>
  <si>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</si>
  <si>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</si>
  <si>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</si>
  <si>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</si>
  <si>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</si>
  <si>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</si>
  <si>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</si>
  <si>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</si>
  <si>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</si>
  <si>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</si>
  <si>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</si>
  <si>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</si>
  <si>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</si>
  <si>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</si>
  <si>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</si>
  <si>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</si>
  <si>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</si>
  <si>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</si>
  <si>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</si>
  <si>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</si>
  <si>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</si>
  <si>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</si>
  <si>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</si>
  <si>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</si>
  <si>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</si>
  <si>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</si>
  <si>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</si>
  <si>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</si>
  <si>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</si>
  <si>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</si>
  <si>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</si>
  <si>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</si>
  <si>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</si>
  <si>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</si>
  <si>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</si>
  <si>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</si>
  <si>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</si>
  <si>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</si>
  <si>
    <t>Name</t>
  </si>
  <si>
    <t>Aidan</t>
  </si>
  <si>
    <t>Rylan</t>
  </si>
  <si>
    <t>Kenzie</t>
  </si>
  <si>
    <t>Thomas</t>
  </si>
  <si>
    <t>Heather</t>
  </si>
  <si>
    <t>Joey</t>
  </si>
  <si>
    <t>Round 1</t>
  </si>
  <si>
    <t>Round 2</t>
  </si>
  <si>
    <t>Round 3</t>
  </si>
  <si>
    <t>Round 4</t>
  </si>
  <si>
    <t>Round 5</t>
  </si>
  <si>
    <t>Round 6</t>
  </si>
  <si>
    <t>Round 7</t>
  </si>
  <si>
    <t>Round 8</t>
  </si>
  <si>
    <t>Pick</t>
  </si>
  <si>
    <t>Opponent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</si>
</sst>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6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200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4" fillId="0" borderId="0" xfId="0" applyFont="1"/>
    <xf numFmtId="0" fontId="0" fillId="0" borderId="55" xfId="0" applyBorder="1"/>
    <xf numFmtId="0" fontId="24" fillId="11" borderId="56" xfId="0" applyFont="1" applyFill="1" applyBorder="1" applyAlignment="1">
      <alignment horizontal="center"/>
    </xf>
    <xf numFmtId="0" fontId="0" fillId="0" borderId="56" xfId="0" applyBorder="1"/>
    <xf numFmtId="0" fontId="0" fillId="0" borderId="61" xfId="0" applyBorder="1"/>
    <xf numFmtId="0" fontId="0" fillId="0" borderId="63" xfId="0" applyBorder="1"/>
    <xf numFmtId="0" fontId="24" fillId="11" borderId="61" xfId="0" applyFont="1" applyFill="1" applyBorder="1" applyAlignment="1">
      <alignment horizontal="center"/>
    </xf>
    <xf numFmtId="0" fontId="24" fillId="11" borderId="62" xfId="0" applyFont="1" applyFill="1" applyBorder="1" applyAlignment="1">
      <alignment horizontal="center"/>
    </xf>
    <xf numFmtId="0" fontId="24" fillId="11" borderId="63" xfId="0" applyFont="1" applyFill="1" applyBorder="1" applyAlignment="1">
      <alignment horizontal="center"/>
    </xf>
    <xf numFmtId="0" fontId="0" fillId="0" borderId="65" xfId="0" applyBorder="1"/>
    <xf numFmtId="0" fontId="0" fillId="0" borderId="64" xfId="0" applyBorder="1"/>
    <xf numFmtId="0" fontId="0" fillId="0" borderId="60" xfId="0" applyBorder="1" applyAlignment="1">
      <alignment vertical="center"/>
    </xf>
    <xf numFmtId="0" fontId="24" fillId="11" borderId="62" xfId="0" applyFont="1" applyFill="1" applyBorder="1" applyAlignment="1">
      <alignment vertical="center"/>
    </xf>
    <xf numFmtId="0" fontId="24" fillId="11" borderId="0" xfId="0" applyFont="1" applyFill="1" applyAlignment="1">
      <alignment vertical="center"/>
    </xf>
    <xf numFmtId="0" fontId="0" fillId="12" borderId="55" xfId="0" applyFill="1" applyBorder="1"/>
    <xf numFmtId="0" fontId="0" fillId="12" borderId="0" xfId="0" applyFill="1" applyAlignment="1">
      <alignment vertical="center"/>
    </xf>
    <xf numFmtId="0" fontId="0" fillId="12" borderId="56" xfId="0" applyFill="1" applyBorder="1"/>
    <xf numFmtId="0" fontId="0" fillId="12" borderId="0" xfId="0" applyFill="1"/>
    <xf numFmtId="0" fontId="0" fillId="12" borderId="61" xfId="0" applyFill="1" applyBorder="1"/>
    <xf numFmtId="0" fontId="0" fillId="12" borderId="62" xfId="0" applyFill="1" applyBorder="1" applyAlignment="1">
      <alignment vertical="center"/>
    </xf>
    <xf numFmtId="0" fontId="0" fillId="12" borderId="63" xfId="0" applyFill="1" applyBorder="1"/>
    <xf numFmtId="0" fontId="0" fillId="12" borderId="62" xfId="0" applyFill="1" applyBorder="1"/>
    <xf numFmtId="0" fontId="0" fillId="0" borderId="62" xfId="0" applyBorder="1" applyAlignment="1">
      <alignment horizontal="center" vertical="center"/>
    </xf>
    <xf numFmtId="0" fontId="24" fillId="11" borderId="64" xfId="0" applyFont="1" applyFill="1" applyBorder="1" applyAlignment="1">
      <alignment horizontal="center" vertical="center"/>
    </xf>
    <xf numFmtId="0" fontId="24" fillId="11" borderId="61" xfId="0" applyFont="1" applyFill="1" applyBorder="1" applyAlignment="1">
      <alignment horizontal="center" vertical="center"/>
    </xf>
    <xf numFmtId="0" fontId="24" fillId="11" borderId="60" xfId="0" applyFont="1" applyFill="1" applyBorder="1" applyAlignment="1">
      <alignment horizontal="center"/>
    </xf>
    <xf numFmtId="0" fontId="24" fillId="11" borderId="64" xfId="0" applyFont="1" applyFill="1" applyBorder="1" applyAlignment="1">
      <alignment horizontal="center"/>
    </xf>
    <xf numFmtId="0" fontId="24" fillId="11" borderId="65" xfId="0" applyFont="1" applyFill="1" applyBorder="1" applyAlignment="1">
      <alignment horizontal="center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0" fillId="0" borderId="64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60" xfId="0" applyBorder="1"/>
    <xf numFmtId="0" fontId="0" fillId="12" borderId="0" xfId="0" applyFill="1" applyBorder="1"/>
    <xf numFmtId="0" fontId="0" fillId="0" borderId="0" xfId="0" applyBorder="1"/>
    <xf numFmtId="0" fontId="0" fillId="0" borderId="0" xfId="0" applyBorder="1" applyAlignment="1">
      <alignment vertical="center"/>
    </xf>
    <xf numFmtId="0" fontId="0" fillId="12" borderId="0" xfId="0" applyFill="1" applyBorder="1" applyAlignment="1">
      <alignment vertical="center"/>
    </xf>
  </cellXfs>
  <cellStyles count="3">
    <cellStyle name="Hyperlink" xfId="1" builtinId="8"/>
    <cellStyle name="Normal" xfId="0" builtinId="0"/>
    <cellStyle name="Note" xfId="2" builtinId="10"/>
  </cellStyles>
  <dxfs count="235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BCC1-8E24-6D45-9806-292128B12084}">
  <dimension ref="A1:AG8"/>
  <sheetViews>
    <sheetView tabSelected="1" workbookViewId="0">
      <selection activeCell="F4" sqref="F4"/>
    </sheetView>
  </sheetViews>
  <sheetFormatPr baseColWidth="10" defaultRowHeight="15" x14ac:dyDescent="0.2"/>
  <cols>
    <col min="1" max="1" width="7.1640625" bestFit="1" customWidth="1"/>
    <col min="2" max="2" width="16.83203125" customWidth="1"/>
    <col min="3" max="4" width="2.5" style="82" customWidth="1"/>
    <col min="5" max="6" width="16.83203125" customWidth="1"/>
    <col min="7" max="8" width="2.5" style="82" customWidth="1"/>
    <col min="9" max="10" width="16.83203125" customWidth="1"/>
    <col min="11" max="12" width="2.5" style="82" customWidth="1"/>
    <col min="13" max="14" width="16.83203125" customWidth="1"/>
    <col min="15" max="16" width="2.5" style="82" customWidth="1"/>
    <col min="17" max="18" width="16.83203125" customWidth="1"/>
    <col min="19" max="20" width="2.5" style="82" customWidth="1"/>
    <col min="21" max="22" width="16.83203125" customWidth="1"/>
    <col min="23" max="24" width="2.5" style="82" customWidth="1"/>
    <col min="25" max="26" width="16.83203125" customWidth="1"/>
    <col min="27" max="28" width="2.5" style="82" customWidth="1"/>
    <col min="29" max="30" width="16.83203125" customWidth="1"/>
    <col min="31" max="32" width="2.5" style="82" customWidth="1"/>
    <col min="33" max="33" width="16.83203125" customWidth="1"/>
  </cols>
  <sheetData>
    <row r="1" spans="1:33" s="131" customFormat="1" x14ac:dyDescent="0.2">
      <c r="A1" s="154" t="s">
        <v>3698</v>
      </c>
      <c r="B1" s="157" t="s">
        <v>3705</v>
      </c>
      <c r="C1" s="156"/>
      <c r="D1" s="156"/>
      <c r="E1" s="158"/>
      <c r="F1" s="156" t="s">
        <v>3706</v>
      </c>
      <c r="G1" s="156"/>
      <c r="H1" s="156"/>
      <c r="I1" s="156"/>
      <c r="J1" s="157" t="s">
        <v>3707</v>
      </c>
      <c r="K1" s="156"/>
      <c r="L1" s="156"/>
      <c r="M1" s="156"/>
      <c r="N1" s="157" t="s">
        <v>3708</v>
      </c>
      <c r="O1" s="156"/>
      <c r="P1" s="156"/>
      <c r="Q1" s="158"/>
      <c r="R1" s="156" t="s">
        <v>3709</v>
      </c>
      <c r="S1" s="156"/>
      <c r="T1" s="156"/>
      <c r="U1" s="156"/>
      <c r="V1" s="157" t="s">
        <v>3710</v>
      </c>
      <c r="W1" s="156"/>
      <c r="X1" s="156"/>
      <c r="Y1" s="158"/>
      <c r="Z1" s="156" t="s">
        <v>3711</v>
      </c>
      <c r="AA1" s="156"/>
      <c r="AB1" s="156"/>
      <c r="AC1" s="156"/>
      <c r="AD1" s="157" t="s">
        <v>3712</v>
      </c>
      <c r="AE1" s="156"/>
      <c r="AF1" s="156"/>
      <c r="AG1" s="158"/>
    </row>
    <row r="2" spans="1:33" s="131" customFormat="1" x14ac:dyDescent="0.2">
      <c r="A2" s="155"/>
      <c r="B2" s="137" t="s">
        <v>3713</v>
      </c>
      <c r="C2" s="144"/>
      <c r="D2" s="144"/>
      <c r="E2" s="133" t="s">
        <v>3714</v>
      </c>
      <c r="F2" s="138" t="s">
        <v>3713</v>
      </c>
      <c r="G2" s="143"/>
      <c r="H2" s="143"/>
      <c r="I2" s="138" t="s">
        <v>3714</v>
      </c>
      <c r="J2" s="137" t="s">
        <v>3713</v>
      </c>
      <c r="K2" s="143"/>
      <c r="L2" s="143"/>
      <c r="M2" s="138" t="s">
        <v>3714</v>
      </c>
      <c r="N2" s="137" t="s">
        <v>3713</v>
      </c>
      <c r="O2" s="143"/>
      <c r="P2" s="143"/>
      <c r="Q2" s="139" t="s">
        <v>3714</v>
      </c>
      <c r="R2" s="138" t="s">
        <v>3713</v>
      </c>
      <c r="S2" s="143"/>
      <c r="T2" s="143"/>
      <c r="U2" s="138" t="s">
        <v>3714</v>
      </c>
      <c r="V2" s="137" t="s">
        <v>3713</v>
      </c>
      <c r="W2" s="143"/>
      <c r="X2" s="143"/>
      <c r="Y2" s="139" t="s">
        <v>3714</v>
      </c>
      <c r="Z2" s="138" t="s">
        <v>3713</v>
      </c>
      <c r="AA2" s="143"/>
      <c r="AB2" s="143"/>
      <c r="AC2" s="138" t="s">
        <v>3714</v>
      </c>
      <c r="AD2" s="137" t="s">
        <v>3713</v>
      </c>
      <c r="AE2" s="143"/>
      <c r="AF2" s="143"/>
      <c r="AG2" s="139" t="s">
        <v>3714</v>
      </c>
    </row>
    <row r="3" spans="1:33" x14ac:dyDescent="0.2">
      <c r="A3" s="132" t="s">
        <v>3699</v>
      </c>
      <c r="B3" s="141" t="s">
        <v>2240</v>
      </c>
      <c r="C3" s="142" t="e">
        <f>IFERROR(_xlfn.XLOOKUP(B3,Rounds!A$2:A$25,Rounds!B$2:B$25), _xlfn.XLOOKUP(B3,Rounds!D$2:D$25,Rounds!C$2:C$25))</f>
        <v>#N/A</v>
      </c>
      <c r="D3" s="142" t="e">
        <f>IFERROR(_xlfn.XLOOKUP(B3,Rounds!A$2:A$25,Rounds!C$2:C$25), _xlfn.XLOOKUP(B3,Rounds!D$2:D$25,Rounds!B$2:B$25))</f>
        <v>#N/A</v>
      </c>
      <c r="E3" s="140" t="str">
        <f>IFERROR(_xlfn.XLOOKUP(B3,Rounds!A$2:A$25,Rounds!D$2:D$25), _xlfn.XLOOKUP(B3,Rounds!D$2:D$25,Rounds!A$2:A$25))</f>
        <v>Tunisia</v>
      </c>
      <c r="F3" s="195"/>
      <c r="G3" s="142" t="e">
        <f>IFERROR(_xlfn.XLOOKUP(F3,Rounds!E$2:E$25,Rounds!F$2:F$25), _xlfn.XLOOKUP(F3,Rounds!H$2:H$25,Rounds!G$2:G$25))</f>
        <v>#N/A</v>
      </c>
      <c r="H3" s="142" t="e">
        <f>IFERROR(_xlfn.XLOOKUP(F3,Rounds!E$2:E$25,Rounds!G$2:G$25), _xlfn.XLOOKUP(F3,Rounds!H$2:H$25,Rounds!F$2:F$25))</f>
        <v>#N/A</v>
      </c>
      <c r="I3" s="140" t="e">
        <f>IFERROR(_xlfn.XLOOKUP(F3,Rounds!E$2:E$25,Rounds!H$2:H$25), _xlfn.XLOOKUP(F3,Rounds!H$2:H$25,Rounds!E$2:E$25))</f>
        <v>#N/A</v>
      </c>
      <c r="K3" s="142" t="e">
        <f>IFERROR(_xlfn.XLOOKUP(J3,Rounds!I$2:I$25,Rounds!J$2:J$25), _xlfn.XLOOKUP(J3,Rounds!L$2:L$25,Rounds!K$2:K$25))</f>
        <v>#N/A</v>
      </c>
      <c r="L3" s="142" t="e">
        <f>IFERROR(_xlfn.XLOOKUP(J3,Rounds!I$2:I$25,Rounds!K$2:K$25), _xlfn.XLOOKUP(J3,Rounds!L$2:L$25,Rounds!J$2:J$25))</f>
        <v>#N/A</v>
      </c>
      <c r="M3" s="140" t="e">
        <f>IFERROR(_xlfn.XLOOKUP(J3,Rounds!I$2:I$25,Rounds!L$2:L$25), _xlfn.XLOOKUP(J3,Rounds!L$2:L$25,Rounds!I$2:I$25))</f>
        <v>#N/A</v>
      </c>
      <c r="O3" s="142" t="e">
        <f>IFERROR(_xlfn.XLOOKUP(N3,Rounds!M$2:M$17,Rounds!N$2:N$17), _xlfn.XLOOKUP(N3,Rounds!P$2:P$17,Rounds!O$2:O$17))</f>
        <v>#N/A</v>
      </c>
      <c r="P3" s="142" t="e">
        <f>IFERROR(_xlfn.XLOOKUP(N3,Rounds!M$2:M$17,Rounds!O$2:O$17), _xlfn.XLOOKUP(N3,Rounds!P$2:P$17,Rounds!N$2:N$17))</f>
        <v>#N/A</v>
      </c>
      <c r="Q3" s="140" t="e">
        <f>IFERROR(_xlfn.XLOOKUP(N3,Rounds!M$2:M$17,Rounds!P$2:P$17), _xlfn.XLOOKUP(N3,Rounds!P$2:P$17,Rounds!M$2:M$17))</f>
        <v>#N/A</v>
      </c>
      <c r="S3" s="142" t="e">
        <f>IFERROR(_xlfn.XLOOKUP(R3,Rounds!Q$2:Q$9,Rounds!R$2:R$9), _xlfn.XLOOKUP(R3,Rounds!T$2:T$9,Rounds!S$2:S$9))</f>
        <v>#N/A</v>
      </c>
      <c r="T3" s="142" t="e">
        <f>IFERROR(_xlfn.XLOOKUP(R3,Rounds!Q$2:Q$9,Rounds!S$2:S$9), _xlfn.XLOOKUP(R3,Rounds!T$2:T$9,Rounds!R$2:R$9))</f>
        <v>#N/A</v>
      </c>
      <c r="U3" s="140" t="e">
        <f>IFERROR(_xlfn.XLOOKUP(R3,Rounds!Q$2:Q$9,Rounds!T$2:T$9), _xlfn.XLOOKUP(R3,Rounds!T$2:T$9,Rounds!Q$2:Q$9))</f>
        <v>#N/A</v>
      </c>
      <c r="W3" s="142" t="e">
        <f>IFERROR(_xlfn.XLOOKUP(V3,Rounds!U$2:U$5,Rounds!V$2:V$5), _xlfn.XLOOKUP(V3,Rounds!X$2:X$5,Rounds!W$2:W$5))</f>
        <v>#N/A</v>
      </c>
      <c r="X3" s="142" t="e">
        <f>IFERROR(_xlfn.XLOOKUP(V3,Rounds!U$2:U$5,Rounds!W$2:W$5), _xlfn.XLOOKUP(V3,Rounds!X$2:X$5,Rounds!V$2:V$5))</f>
        <v>#N/A</v>
      </c>
      <c r="Y3" s="140" t="e">
        <f>IFERROR(_xlfn.XLOOKUP(V3,Rounds!U$2:U$5,Rounds!X$2:X$5), _xlfn.XLOOKUP(V3,Rounds!X$2:X$5,Rounds!U$2:U$5))</f>
        <v>#N/A</v>
      </c>
      <c r="AA3" s="142" t="e">
        <f>IFERROR(_xlfn.XLOOKUP(Z3,Rounds!Y$2:Y$3,Rounds!Z$2:Z$3), _xlfn.XLOOKUP(Z3,Rounds!AB$2:AB$3,Rounds!AA$2:AA$3))</f>
        <v>#N/A</v>
      </c>
      <c r="AB3" s="142" t="e">
        <f>IFERROR(_xlfn.XLOOKUP(Z3,Rounds!Y$2:Y$3,Rounds!AA$2:AA$3), _xlfn.XLOOKUP(Z3,Rounds!AB$2:AB$3,Rounds!Z$2:Z$3))</f>
        <v>#N/A</v>
      </c>
      <c r="AC3" s="140" t="e">
        <f>IFERROR(_xlfn.XLOOKUP(Z3,Rounds!Y$2:Y$3,Rounds!AB$2:AB$3), _xlfn.XLOOKUP(Z3,Rounds!AB$2:AB$3,Rounds!Y$2:Y$3))</f>
        <v>#N/A</v>
      </c>
      <c r="AE3" s="142" t="e" cm="1">
        <f t="array" ref="AE3">IFERROR(_xlfn.XLOOKUP(AD3,Rounds!AC$2:AC$2,Rounds!AD$2:AD$2), _xlfn.XLOOKUP(AD3,Rounds!AF$2:AF$2,Rounds!AE$2:AE$2))</f>
        <v>#N/A</v>
      </c>
      <c r="AF3" s="142" t="e" cm="1">
        <f t="array" ref="AF3">IFERROR(_xlfn.XLOOKUP(AD3,Rounds!AC$2:AC$2,Rounds!AE$2:AE$2), _xlfn.XLOOKUP(AD3,Rounds!AF$2:AF$2,Rounds!AD$2:AD$2))</f>
        <v>#N/A</v>
      </c>
      <c r="AG3" s="140" t="e" cm="1">
        <f t="array" ref="AG3">IFERROR(_xlfn.XLOOKUP(AD3,Rounds!AC$2:AC$2,Rounds!AF$2:AF$2), _xlfn.XLOOKUP(AD3,Rounds!AF$2:AF$2,Rounds!AC$2:AC$2))</f>
        <v>#N/A</v>
      </c>
    </row>
    <row r="4" spans="1:33" s="148" customFormat="1" x14ac:dyDescent="0.2">
      <c r="A4" s="145" t="s">
        <v>3700</v>
      </c>
      <c r="B4" s="145" t="s">
        <v>1798</v>
      </c>
      <c r="C4" s="199" t="e">
        <f>IFERROR(_xlfn.XLOOKUP(B4,Rounds!A$2:A$25,Rounds!B$2:B$25), _xlfn.XLOOKUP(B4,Rounds!D$2:D$25,Rounds!C$2:C$25))</f>
        <v>#N/A</v>
      </c>
      <c r="D4" s="199" t="e">
        <f>IFERROR(_xlfn.XLOOKUP(B4,Rounds!A$2:A$25,Rounds!C$2:C$25), _xlfn.XLOOKUP(B4,Rounds!D$2:D$25,Rounds!B$2:B$25))</f>
        <v>#N/A</v>
      </c>
      <c r="E4" s="147" t="str">
        <f>IFERROR(_xlfn.XLOOKUP(B4,Rounds!A$2:A$25,Rounds!D$2:D$25), _xlfn.XLOOKUP(B4,Rounds!D$2:D$25,Rounds!A$2:A$25))</f>
        <v>Qatar</v>
      </c>
      <c r="F4" s="196"/>
      <c r="G4" s="199" t="e">
        <f>IFERROR(_xlfn.XLOOKUP(F4,Rounds!E$2:E$25,Rounds!F$2:F$25), _xlfn.XLOOKUP(F4,Rounds!H$2:H$25,Rounds!G$2:G$25))</f>
        <v>#N/A</v>
      </c>
      <c r="H4" s="199" t="e">
        <f>IFERROR(_xlfn.XLOOKUP(F4,Rounds!E$2:E$25,Rounds!G$2:G$25), _xlfn.XLOOKUP(F4,Rounds!H$2:H$25,Rounds!F$2:F$25))</f>
        <v>#N/A</v>
      </c>
      <c r="I4" s="147" t="e">
        <f>IFERROR(_xlfn.XLOOKUP(F4,Rounds!E$2:E$25,Rounds!H$2:H$25), _xlfn.XLOOKUP(F4,Rounds!H$2:H$25,Rounds!E$2:E$25))</f>
        <v>#N/A</v>
      </c>
      <c r="K4" s="199" t="e">
        <f>IFERROR(_xlfn.XLOOKUP(J4,Rounds!I$2:I$25,Rounds!J$2:J$25), _xlfn.XLOOKUP(J4,Rounds!L$2:L$25,Rounds!K$2:K$25))</f>
        <v>#N/A</v>
      </c>
      <c r="L4" s="199" t="e">
        <f>IFERROR(_xlfn.XLOOKUP(J4,Rounds!I$2:I$25,Rounds!K$2:K$25), _xlfn.XLOOKUP(J4,Rounds!L$2:L$25,Rounds!J$2:J$25))</f>
        <v>#N/A</v>
      </c>
      <c r="M4" s="147" t="e">
        <f>IFERROR(_xlfn.XLOOKUP(J4,Rounds!I$2:I$25,Rounds!L$2:L$25), _xlfn.XLOOKUP(J4,Rounds!L$2:L$25,Rounds!I$2:I$25))</f>
        <v>#N/A</v>
      </c>
      <c r="O4" s="199" t="e">
        <f>IFERROR(_xlfn.XLOOKUP(N4,Rounds!M$2:M$17,Rounds!N$2:N$17), _xlfn.XLOOKUP(N4,Rounds!P$2:P$17,Rounds!O$2:O$17))</f>
        <v>#N/A</v>
      </c>
      <c r="P4" s="199" t="e">
        <f>IFERROR(_xlfn.XLOOKUP(N4,Rounds!M$2:M$17,Rounds!O$2:O$17), _xlfn.XLOOKUP(N4,Rounds!P$2:P$17,Rounds!N$2:N$17))</f>
        <v>#N/A</v>
      </c>
      <c r="Q4" s="147" t="e">
        <f>IFERROR(_xlfn.XLOOKUP(N4,Rounds!M$2:M$17,Rounds!P$2:P$17), _xlfn.XLOOKUP(N4,Rounds!P$2:P$17,Rounds!M$2:M$17))</f>
        <v>#N/A</v>
      </c>
      <c r="S4" s="199" t="e">
        <f>IFERROR(_xlfn.XLOOKUP(R4,Rounds!Q$2:Q$9,Rounds!R$2:R$9), _xlfn.XLOOKUP(R4,Rounds!T$2:T$9,Rounds!S$2:S$9))</f>
        <v>#N/A</v>
      </c>
      <c r="T4" s="199" t="e">
        <f>IFERROR(_xlfn.XLOOKUP(R4,Rounds!Q$2:Q$9,Rounds!S$2:S$9), _xlfn.XLOOKUP(R4,Rounds!T$2:T$9,Rounds!R$2:R$9))</f>
        <v>#N/A</v>
      </c>
      <c r="U4" s="147" t="e">
        <f>IFERROR(_xlfn.XLOOKUP(R4,Rounds!Q$2:Q$9,Rounds!T$2:T$9), _xlfn.XLOOKUP(R4,Rounds!T$2:T$9,Rounds!Q$2:Q$9))</f>
        <v>#N/A</v>
      </c>
      <c r="W4" s="146" t="e">
        <f>IFERROR(_xlfn.XLOOKUP(V4,Rounds!U$2:U$5,Rounds!V$2:V$5), _xlfn.XLOOKUP(V4,Rounds!X$2:X$5,Rounds!W$2:W$5))</f>
        <v>#N/A</v>
      </c>
      <c r="X4" s="146" t="e">
        <f>IFERROR(_xlfn.XLOOKUP(V4,Rounds!U$2:U$5,Rounds!W$2:W$5), _xlfn.XLOOKUP(V4,Rounds!X$2:X$5,Rounds!V$2:V$5))</f>
        <v>#N/A</v>
      </c>
      <c r="Y4" s="147" t="e">
        <f>IFERROR(_xlfn.XLOOKUP(V4,Rounds!U$2:U$5,Rounds!X$2:X$5), _xlfn.XLOOKUP(V4,Rounds!X$2:X$5,Rounds!U$2:U$5))</f>
        <v>#N/A</v>
      </c>
      <c r="AA4" s="146" t="e">
        <f>IFERROR(_xlfn.XLOOKUP(Z4,Rounds!Y$2:Y$3,Rounds!Z$2:Z$3), _xlfn.XLOOKUP(Z4,Rounds!AB$2:AB$3,Rounds!AA$2:AA$3))</f>
        <v>#N/A</v>
      </c>
      <c r="AB4" s="146" t="e">
        <f>IFERROR(_xlfn.XLOOKUP(Z4,Rounds!Y$2:Y$3,Rounds!AA$2:AA$3), _xlfn.XLOOKUP(Z4,Rounds!AB$2:AB$3,Rounds!Z$2:Z$3))</f>
        <v>#N/A</v>
      </c>
      <c r="AC4" s="147" t="e">
        <f>IFERROR(_xlfn.XLOOKUP(Z4,Rounds!Y$2:Y$3,Rounds!AB$2:AB$3), _xlfn.XLOOKUP(Z4,Rounds!AB$2:AB$3,Rounds!Y$2:Y$3))</f>
        <v>#N/A</v>
      </c>
      <c r="AE4" s="146" t="e" cm="1">
        <f t="array" ref="AE4">IFERROR(_xlfn.XLOOKUP(AD4,Rounds!AC$2:AC$2,Rounds!AD$2:AD$2), _xlfn.XLOOKUP(AD4,Rounds!AF$2:AF$2,Rounds!AE$2:AE$2))</f>
        <v>#N/A</v>
      </c>
      <c r="AF4" s="146" t="e" cm="1">
        <f t="array" ref="AF4">IFERROR(_xlfn.XLOOKUP(AD4,Rounds!AC$2:AC$2,Rounds!AE$2:AE$2), _xlfn.XLOOKUP(AD4,Rounds!AF$2:AF$2,Rounds!AD$2:AD$2))</f>
        <v>#N/A</v>
      </c>
      <c r="AG4" s="147" t="e" cm="1">
        <f t="array" ref="AG4">IFERROR(_xlfn.XLOOKUP(AD4,Rounds!AC$2:AC$2,Rounds!AF$2:AF$2), _xlfn.XLOOKUP(AD4,Rounds!AF$2:AF$2,Rounds!AC$2:AC$2))</f>
        <v>#N/A</v>
      </c>
    </row>
    <row r="5" spans="1:33" x14ac:dyDescent="0.2">
      <c r="A5" s="132" t="s">
        <v>3701</v>
      </c>
      <c r="B5" s="132" t="s">
        <v>2573</v>
      </c>
      <c r="C5" s="198" t="e">
        <f>IFERROR(_xlfn.XLOOKUP(B5,Rounds!A$2:A$25,Rounds!B$2:B$25), _xlfn.XLOOKUP(B5,Rounds!D$2:D$25,Rounds!C$2:C$25))</f>
        <v>#N/A</v>
      </c>
      <c r="D5" s="198" t="e">
        <f>IFERROR(_xlfn.XLOOKUP(B5,Rounds!A$2:A$25,Rounds!C$2:C$25), _xlfn.XLOOKUP(B5,Rounds!D$2:D$25,Rounds!B$2:B$25))</f>
        <v>#N/A</v>
      </c>
      <c r="E5" s="134" t="str">
        <f>IFERROR(_xlfn.XLOOKUP(B5,Rounds!A$2:A$25,Rounds!D$2:D$25), _xlfn.XLOOKUP(B5,Rounds!D$2:D$25,Rounds!A$2:A$25))</f>
        <v>Uzbekistan</v>
      </c>
      <c r="F5" s="197"/>
      <c r="G5" s="198" t="e">
        <f>IFERROR(_xlfn.XLOOKUP(F5,Rounds!E$2:E$25,Rounds!F$2:F$25), _xlfn.XLOOKUP(F5,Rounds!H$2:H$25,Rounds!G$2:G$25))</f>
        <v>#N/A</v>
      </c>
      <c r="H5" s="198" t="e">
        <f>IFERROR(_xlfn.XLOOKUP(F5,Rounds!E$2:E$25,Rounds!G$2:G$25), _xlfn.XLOOKUP(F5,Rounds!H$2:H$25,Rounds!F$2:F$25))</f>
        <v>#N/A</v>
      </c>
      <c r="I5" s="134" t="e">
        <f>IFERROR(_xlfn.XLOOKUP(F5,Rounds!E$2:E$25,Rounds!H$2:H$25), _xlfn.XLOOKUP(F5,Rounds!H$2:H$25,Rounds!E$2:E$25))</f>
        <v>#N/A</v>
      </c>
      <c r="K5" s="198" t="e">
        <f>IFERROR(_xlfn.XLOOKUP(J5,Rounds!I$2:I$25,Rounds!J$2:J$25), _xlfn.XLOOKUP(J5,Rounds!L$2:L$25,Rounds!K$2:K$25))</f>
        <v>#N/A</v>
      </c>
      <c r="L5" s="198" t="e">
        <f>IFERROR(_xlfn.XLOOKUP(J5,Rounds!I$2:I$25,Rounds!K$2:K$25), _xlfn.XLOOKUP(J5,Rounds!L$2:L$25,Rounds!J$2:J$25))</f>
        <v>#N/A</v>
      </c>
      <c r="M5" s="134" t="e">
        <f>IFERROR(_xlfn.XLOOKUP(J5,Rounds!I$2:I$25,Rounds!L$2:L$25), _xlfn.XLOOKUP(J5,Rounds!L$2:L$25,Rounds!I$2:I$25))</f>
        <v>#N/A</v>
      </c>
      <c r="O5" s="198" t="e">
        <f>IFERROR(_xlfn.XLOOKUP(N5,Rounds!M$2:M$17,Rounds!N$2:N$17), _xlfn.XLOOKUP(N5,Rounds!P$2:P$17,Rounds!O$2:O$17))</f>
        <v>#N/A</v>
      </c>
      <c r="P5" s="198" t="e">
        <f>IFERROR(_xlfn.XLOOKUP(N5,Rounds!M$2:M$17,Rounds!O$2:O$17), _xlfn.XLOOKUP(N5,Rounds!P$2:P$17,Rounds!N$2:N$17))</f>
        <v>#N/A</v>
      </c>
      <c r="Q5" s="134" t="e">
        <f>IFERROR(_xlfn.XLOOKUP(N5,Rounds!M$2:M$17,Rounds!P$2:P$17), _xlfn.XLOOKUP(N5,Rounds!P$2:P$17,Rounds!M$2:M$17))</f>
        <v>#N/A</v>
      </c>
      <c r="S5" s="198" t="e">
        <f>IFERROR(_xlfn.XLOOKUP(R5,Rounds!Q$2:Q$9,Rounds!R$2:R$9), _xlfn.XLOOKUP(R5,Rounds!T$2:T$9,Rounds!S$2:S$9))</f>
        <v>#N/A</v>
      </c>
      <c r="T5" s="198" t="e">
        <f>IFERROR(_xlfn.XLOOKUP(R5,Rounds!Q$2:Q$9,Rounds!S$2:S$9), _xlfn.XLOOKUP(R5,Rounds!T$2:T$9,Rounds!R$2:R$9))</f>
        <v>#N/A</v>
      </c>
      <c r="U5" s="134" t="e">
        <f>IFERROR(_xlfn.XLOOKUP(R5,Rounds!Q$2:Q$9,Rounds!T$2:T$9), _xlfn.XLOOKUP(R5,Rounds!T$2:T$9,Rounds!Q$2:Q$9))</f>
        <v>#N/A</v>
      </c>
      <c r="W5" s="82" t="e">
        <f>IFERROR(_xlfn.XLOOKUP(V5,Rounds!U$2:U$5,Rounds!V$2:V$5), _xlfn.XLOOKUP(V5,Rounds!X$2:X$5,Rounds!W$2:W$5))</f>
        <v>#N/A</v>
      </c>
      <c r="X5" s="82" t="e">
        <f>IFERROR(_xlfn.XLOOKUP(V5,Rounds!U$2:U$5,Rounds!W$2:W$5), _xlfn.XLOOKUP(V5,Rounds!X$2:X$5,Rounds!V$2:V$5))</f>
        <v>#N/A</v>
      </c>
      <c r="Y5" s="134" t="e">
        <f>IFERROR(_xlfn.XLOOKUP(V5,Rounds!U$2:U$5,Rounds!X$2:X$5), _xlfn.XLOOKUP(V5,Rounds!X$2:X$5,Rounds!U$2:U$5))</f>
        <v>#N/A</v>
      </c>
      <c r="AA5" s="82" t="e">
        <f>IFERROR(_xlfn.XLOOKUP(Z5,Rounds!Y$2:Y$3,Rounds!Z$2:Z$3), _xlfn.XLOOKUP(Z5,Rounds!AB$2:AB$3,Rounds!AA$2:AA$3))</f>
        <v>#N/A</v>
      </c>
      <c r="AB5" s="82" t="e">
        <f>IFERROR(_xlfn.XLOOKUP(Z5,Rounds!Y$2:Y$3,Rounds!AA$2:AA$3), _xlfn.XLOOKUP(Z5,Rounds!AB$2:AB$3,Rounds!Z$2:Z$3))</f>
        <v>#N/A</v>
      </c>
      <c r="AC5" s="134" t="e">
        <f>IFERROR(_xlfn.XLOOKUP(Z5,Rounds!Y$2:Y$3,Rounds!AB$2:AB$3), _xlfn.XLOOKUP(Z5,Rounds!AB$2:AB$3,Rounds!Y$2:Y$3))</f>
        <v>#N/A</v>
      </c>
      <c r="AE5" s="82" t="e" cm="1">
        <f t="array" ref="AE5">IFERROR(_xlfn.XLOOKUP(AD5,Rounds!AC$2:AC$2,Rounds!AD$2:AD$2), _xlfn.XLOOKUP(AD5,Rounds!AF$2:AF$2,Rounds!AE$2:AE$2))</f>
        <v>#N/A</v>
      </c>
      <c r="AF5" s="82" t="e" cm="1">
        <f t="array" ref="AF5">IFERROR(_xlfn.XLOOKUP(AD5,Rounds!AC$2:AC$2,Rounds!AE$2:AE$2), _xlfn.XLOOKUP(AD5,Rounds!AF$2:AF$2,Rounds!AD$2:AD$2))</f>
        <v>#N/A</v>
      </c>
      <c r="AG5" s="134" t="e" cm="1">
        <f t="array" ref="AG5">IFERROR(_xlfn.XLOOKUP(AD5,Rounds!AC$2:AC$2,Rounds!AF$2:AF$2), _xlfn.XLOOKUP(AD5,Rounds!AF$2:AF$2,Rounds!AC$2:AC$2))</f>
        <v>#N/A</v>
      </c>
    </row>
    <row r="6" spans="1:33" s="148" customFormat="1" x14ac:dyDescent="0.2">
      <c r="A6" s="145" t="s">
        <v>3702</v>
      </c>
      <c r="B6" s="145" t="s">
        <v>2395</v>
      </c>
      <c r="C6" s="199" t="e">
        <f>IFERROR(_xlfn.XLOOKUP(B6,Rounds!A$2:A$25,Rounds!B$2:B$25), _xlfn.XLOOKUP(B6,Rounds!D$2:D$25,Rounds!C$2:C$25))</f>
        <v>#N/A</v>
      </c>
      <c r="D6" s="199" t="e">
        <f>IFERROR(_xlfn.XLOOKUP(B6,Rounds!A$2:A$25,Rounds!C$2:C$25), _xlfn.XLOOKUP(B6,Rounds!D$2:D$25,Rounds!B$2:B$25))</f>
        <v>#N/A</v>
      </c>
      <c r="E6" s="147" t="str">
        <f>IFERROR(_xlfn.XLOOKUP(B6,Rounds!A$2:A$25,Rounds!D$2:D$25), _xlfn.XLOOKUP(B6,Rounds!D$2:D$25,Rounds!A$2:A$25))</f>
        <v>Iraq</v>
      </c>
      <c r="F6" s="196"/>
      <c r="G6" s="199" t="e">
        <f>IFERROR(_xlfn.XLOOKUP(F6,Rounds!E$2:E$25,Rounds!F$2:F$25), _xlfn.XLOOKUP(F6,Rounds!H$2:H$25,Rounds!G$2:G$25))</f>
        <v>#N/A</v>
      </c>
      <c r="H6" s="199" t="e">
        <f>IFERROR(_xlfn.XLOOKUP(F6,Rounds!E$2:E$25,Rounds!G$2:G$25), _xlfn.XLOOKUP(F6,Rounds!H$2:H$25,Rounds!F$2:F$25))</f>
        <v>#N/A</v>
      </c>
      <c r="I6" s="147" t="e">
        <f>IFERROR(_xlfn.XLOOKUP(F6,Rounds!E$2:E$25,Rounds!H$2:H$25), _xlfn.XLOOKUP(F6,Rounds!H$2:H$25,Rounds!E$2:E$25))</f>
        <v>#N/A</v>
      </c>
      <c r="K6" s="199" t="e">
        <f>IFERROR(_xlfn.XLOOKUP(J6,Rounds!I$2:I$25,Rounds!J$2:J$25), _xlfn.XLOOKUP(J6,Rounds!L$2:L$25,Rounds!K$2:K$25))</f>
        <v>#N/A</v>
      </c>
      <c r="L6" s="199" t="e">
        <f>IFERROR(_xlfn.XLOOKUP(J6,Rounds!I$2:I$25,Rounds!K$2:K$25), _xlfn.XLOOKUP(J6,Rounds!L$2:L$25,Rounds!J$2:J$25))</f>
        <v>#N/A</v>
      </c>
      <c r="M6" s="147" t="e">
        <f>IFERROR(_xlfn.XLOOKUP(J6,Rounds!I$2:I$25,Rounds!L$2:L$25), _xlfn.XLOOKUP(J6,Rounds!L$2:L$25,Rounds!I$2:I$25))</f>
        <v>#N/A</v>
      </c>
      <c r="O6" s="199" t="e">
        <f>IFERROR(_xlfn.XLOOKUP(N6,Rounds!M$2:M$17,Rounds!N$2:N$17), _xlfn.XLOOKUP(N6,Rounds!P$2:P$17,Rounds!O$2:O$17))</f>
        <v>#N/A</v>
      </c>
      <c r="P6" s="199" t="e">
        <f>IFERROR(_xlfn.XLOOKUP(N6,Rounds!M$2:M$17,Rounds!O$2:O$17), _xlfn.XLOOKUP(N6,Rounds!P$2:P$17,Rounds!N$2:N$17))</f>
        <v>#N/A</v>
      </c>
      <c r="Q6" s="147" t="e">
        <f>IFERROR(_xlfn.XLOOKUP(N6,Rounds!M$2:M$17,Rounds!P$2:P$17), _xlfn.XLOOKUP(N6,Rounds!P$2:P$17,Rounds!M$2:M$17))</f>
        <v>#N/A</v>
      </c>
      <c r="S6" s="199" t="e">
        <f>IFERROR(_xlfn.XLOOKUP(R6,Rounds!Q$2:Q$9,Rounds!R$2:R$9), _xlfn.XLOOKUP(R6,Rounds!T$2:T$9,Rounds!S$2:S$9))</f>
        <v>#N/A</v>
      </c>
      <c r="T6" s="199" t="e">
        <f>IFERROR(_xlfn.XLOOKUP(R6,Rounds!Q$2:Q$9,Rounds!S$2:S$9), _xlfn.XLOOKUP(R6,Rounds!T$2:T$9,Rounds!R$2:R$9))</f>
        <v>#N/A</v>
      </c>
      <c r="U6" s="147" t="e">
        <f>IFERROR(_xlfn.XLOOKUP(R6,Rounds!Q$2:Q$9,Rounds!T$2:T$9), _xlfn.XLOOKUP(R6,Rounds!T$2:T$9,Rounds!Q$2:Q$9))</f>
        <v>#N/A</v>
      </c>
      <c r="W6" s="146" t="e">
        <f>IFERROR(_xlfn.XLOOKUP(V6,Rounds!U$2:U$5,Rounds!V$2:V$5), _xlfn.XLOOKUP(V6,Rounds!X$2:X$5,Rounds!W$2:W$5))</f>
        <v>#N/A</v>
      </c>
      <c r="X6" s="146" t="e">
        <f>IFERROR(_xlfn.XLOOKUP(V6,Rounds!U$2:U$5,Rounds!W$2:W$5), _xlfn.XLOOKUP(V6,Rounds!X$2:X$5,Rounds!V$2:V$5))</f>
        <v>#N/A</v>
      </c>
      <c r="Y6" s="147" t="e">
        <f>IFERROR(_xlfn.XLOOKUP(V6,Rounds!U$2:U$5,Rounds!X$2:X$5), _xlfn.XLOOKUP(V6,Rounds!X$2:X$5,Rounds!U$2:U$5))</f>
        <v>#N/A</v>
      </c>
      <c r="AA6" s="146" t="e">
        <f>IFERROR(_xlfn.XLOOKUP(Z6,Rounds!Y$2:Y$3,Rounds!Z$2:Z$3), _xlfn.XLOOKUP(Z6,Rounds!AB$2:AB$3,Rounds!AA$2:AA$3))</f>
        <v>#N/A</v>
      </c>
      <c r="AB6" s="146" t="e">
        <f>IFERROR(_xlfn.XLOOKUP(Z6,Rounds!Y$2:Y$3,Rounds!AA$2:AA$3), _xlfn.XLOOKUP(Z6,Rounds!AB$2:AB$3,Rounds!Z$2:Z$3))</f>
        <v>#N/A</v>
      </c>
      <c r="AC6" s="147" t="e">
        <f>IFERROR(_xlfn.XLOOKUP(Z6,Rounds!Y$2:Y$3,Rounds!AB$2:AB$3), _xlfn.XLOOKUP(Z6,Rounds!AB$2:AB$3,Rounds!Y$2:Y$3))</f>
        <v>#N/A</v>
      </c>
      <c r="AE6" s="146" t="e" cm="1">
        <f t="array" ref="AE6">IFERROR(_xlfn.XLOOKUP(AD6,Rounds!AC$2:AC$2,Rounds!AD$2:AD$2), _xlfn.XLOOKUP(AD6,Rounds!AF$2:AF$2,Rounds!AE$2:AE$2))</f>
        <v>#N/A</v>
      </c>
      <c r="AF6" s="146" t="e" cm="1">
        <f t="array" ref="AF6">IFERROR(_xlfn.XLOOKUP(AD6,Rounds!AC$2:AC$2,Rounds!AE$2:AE$2), _xlfn.XLOOKUP(AD6,Rounds!AF$2:AF$2,Rounds!AD$2:AD$2))</f>
        <v>#N/A</v>
      </c>
      <c r="AG6" s="147" t="e" cm="1">
        <f t="array" ref="AG6">IFERROR(_xlfn.XLOOKUP(AD6,Rounds!AC$2:AC$2,Rounds!AF$2:AF$2), _xlfn.XLOOKUP(AD6,Rounds!AF$2:AF$2,Rounds!AC$2:AC$2))</f>
        <v>#N/A</v>
      </c>
    </row>
    <row r="7" spans="1:33" x14ac:dyDescent="0.2">
      <c r="A7" s="132" t="s">
        <v>3703</v>
      </c>
      <c r="B7" s="132" t="s">
        <v>1798</v>
      </c>
      <c r="C7" s="198" t="e">
        <f>IFERROR(_xlfn.XLOOKUP(B7,Rounds!A$2:A$25,Rounds!B$2:B$25), _xlfn.XLOOKUP(B7,Rounds!D$2:D$25,Rounds!C$2:C$25))</f>
        <v>#N/A</v>
      </c>
      <c r="D7" s="198" t="e">
        <f>IFERROR(_xlfn.XLOOKUP(B7,Rounds!A$2:A$25,Rounds!C$2:C$25), _xlfn.XLOOKUP(B7,Rounds!D$2:D$25,Rounds!B$2:B$25))</f>
        <v>#N/A</v>
      </c>
      <c r="E7" s="134" t="str">
        <f>IFERROR(_xlfn.XLOOKUP(B7,Rounds!A$2:A$25,Rounds!D$2:D$25), _xlfn.XLOOKUP(B7,Rounds!D$2:D$25,Rounds!A$2:A$25))</f>
        <v>Qatar</v>
      </c>
      <c r="F7" s="197"/>
      <c r="G7" s="198" t="e">
        <f>IFERROR(_xlfn.XLOOKUP(F7,Rounds!E$2:E$25,Rounds!F$2:F$25), _xlfn.XLOOKUP(F7,Rounds!H$2:H$25,Rounds!G$2:G$25))</f>
        <v>#N/A</v>
      </c>
      <c r="H7" s="198" t="e">
        <f>IFERROR(_xlfn.XLOOKUP(F7,Rounds!E$2:E$25,Rounds!G$2:G$25), _xlfn.XLOOKUP(F7,Rounds!H$2:H$25,Rounds!F$2:F$25))</f>
        <v>#N/A</v>
      </c>
      <c r="I7" s="134" t="e">
        <f>IFERROR(_xlfn.XLOOKUP(F7,Rounds!E$2:E$25,Rounds!H$2:H$25), _xlfn.XLOOKUP(F7,Rounds!H$2:H$25,Rounds!E$2:E$25))</f>
        <v>#N/A</v>
      </c>
      <c r="K7" s="198" t="e">
        <f>IFERROR(_xlfn.XLOOKUP(J7,Rounds!I$2:I$25,Rounds!J$2:J$25), _xlfn.XLOOKUP(J7,Rounds!L$2:L$25,Rounds!K$2:K$25))</f>
        <v>#N/A</v>
      </c>
      <c r="L7" s="198" t="e">
        <f>IFERROR(_xlfn.XLOOKUP(J7,Rounds!I$2:I$25,Rounds!K$2:K$25), _xlfn.XLOOKUP(J7,Rounds!L$2:L$25,Rounds!J$2:J$25))</f>
        <v>#N/A</v>
      </c>
      <c r="M7" s="134" t="e">
        <f>IFERROR(_xlfn.XLOOKUP(J7,Rounds!I$2:I$25,Rounds!L$2:L$25), _xlfn.XLOOKUP(J7,Rounds!L$2:L$25,Rounds!I$2:I$25))</f>
        <v>#N/A</v>
      </c>
      <c r="O7" s="198" t="e">
        <f>IFERROR(_xlfn.XLOOKUP(N7,Rounds!M$2:M$17,Rounds!N$2:N$17), _xlfn.XLOOKUP(N7,Rounds!P$2:P$17,Rounds!O$2:O$17))</f>
        <v>#N/A</v>
      </c>
      <c r="P7" s="198" t="e">
        <f>IFERROR(_xlfn.XLOOKUP(N7,Rounds!M$2:M$17,Rounds!O$2:O$17), _xlfn.XLOOKUP(N7,Rounds!P$2:P$17,Rounds!N$2:N$17))</f>
        <v>#N/A</v>
      </c>
      <c r="Q7" s="134" t="e">
        <f>IFERROR(_xlfn.XLOOKUP(N7,Rounds!M$2:M$17,Rounds!P$2:P$17), _xlfn.XLOOKUP(N7,Rounds!P$2:P$17,Rounds!M$2:M$17))</f>
        <v>#N/A</v>
      </c>
      <c r="S7" s="198" t="e">
        <f>IFERROR(_xlfn.XLOOKUP(R7,Rounds!Q$2:Q$9,Rounds!R$2:R$9), _xlfn.XLOOKUP(R7,Rounds!T$2:T$9,Rounds!S$2:S$9))</f>
        <v>#N/A</v>
      </c>
      <c r="T7" s="198" t="e">
        <f>IFERROR(_xlfn.XLOOKUP(R7,Rounds!Q$2:Q$9,Rounds!S$2:S$9), _xlfn.XLOOKUP(R7,Rounds!T$2:T$9,Rounds!R$2:R$9))</f>
        <v>#N/A</v>
      </c>
      <c r="U7" s="134" t="e">
        <f>IFERROR(_xlfn.XLOOKUP(R7,Rounds!Q$2:Q$9,Rounds!T$2:T$9), _xlfn.XLOOKUP(R7,Rounds!T$2:T$9,Rounds!Q$2:Q$9))</f>
        <v>#N/A</v>
      </c>
      <c r="W7" s="82" t="e">
        <f>IFERROR(_xlfn.XLOOKUP(V7,Rounds!U$2:U$5,Rounds!V$2:V$5), _xlfn.XLOOKUP(V7,Rounds!X$2:X$5,Rounds!W$2:W$5))</f>
        <v>#N/A</v>
      </c>
      <c r="X7" s="82" t="e">
        <f>IFERROR(_xlfn.XLOOKUP(V7,Rounds!U$2:U$5,Rounds!W$2:W$5), _xlfn.XLOOKUP(V7,Rounds!X$2:X$5,Rounds!V$2:V$5))</f>
        <v>#N/A</v>
      </c>
      <c r="Y7" s="134" t="e">
        <f>IFERROR(_xlfn.XLOOKUP(V7,Rounds!U$2:U$5,Rounds!X$2:X$5), _xlfn.XLOOKUP(V7,Rounds!X$2:X$5,Rounds!U$2:U$5))</f>
        <v>#N/A</v>
      </c>
      <c r="AA7" s="82" t="e">
        <f>IFERROR(_xlfn.XLOOKUP(Z7,Rounds!Y$2:Y$3,Rounds!Z$2:Z$3), _xlfn.XLOOKUP(Z7,Rounds!AB$2:AB$3,Rounds!AA$2:AA$3))</f>
        <v>#N/A</v>
      </c>
      <c r="AB7" s="82" t="e">
        <f>IFERROR(_xlfn.XLOOKUP(Z7,Rounds!Y$2:Y$3,Rounds!AA$2:AA$3), _xlfn.XLOOKUP(Z7,Rounds!AB$2:AB$3,Rounds!Z$2:Z$3))</f>
        <v>#N/A</v>
      </c>
      <c r="AC7" s="134" t="e">
        <f>IFERROR(_xlfn.XLOOKUP(Z7,Rounds!Y$2:Y$3,Rounds!AB$2:AB$3), _xlfn.XLOOKUP(Z7,Rounds!AB$2:AB$3,Rounds!Y$2:Y$3))</f>
        <v>#N/A</v>
      </c>
      <c r="AE7" s="82" t="e" cm="1">
        <f t="array" ref="AE7">IFERROR(_xlfn.XLOOKUP(AD7,Rounds!AC$2:AC$2,Rounds!AD$2:AD$2), _xlfn.XLOOKUP(AD7,Rounds!AF$2:AF$2,Rounds!AE$2:AE$2))</f>
        <v>#N/A</v>
      </c>
      <c r="AF7" s="82" t="e" cm="1">
        <f t="array" ref="AF7">IFERROR(_xlfn.XLOOKUP(AD7,Rounds!AC$2:AC$2,Rounds!AE$2:AE$2), _xlfn.XLOOKUP(AD7,Rounds!AF$2:AF$2,Rounds!AD$2:AD$2))</f>
        <v>#N/A</v>
      </c>
      <c r="AG7" s="134" t="e" cm="1">
        <f t="array" ref="AG7">IFERROR(_xlfn.XLOOKUP(AD7,Rounds!AC$2:AC$2,Rounds!AF$2:AF$2), _xlfn.XLOOKUP(AD7,Rounds!AF$2:AF$2,Rounds!AC$2:AC$2))</f>
        <v>#N/A</v>
      </c>
    </row>
    <row r="8" spans="1:33" s="148" customFormat="1" x14ac:dyDescent="0.2">
      <c r="A8" s="149" t="s">
        <v>3704</v>
      </c>
      <c r="B8" s="149" t="s">
        <v>1798</v>
      </c>
      <c r="C8" s="150" t="e">
        <f>IFERROR(_xlfn.XLOOKUP(B8,Rounds!A$2:A$25,Rounds!B$2:B$25), _xlfn.XLOOKUP(B8,Rounds!D$2:D$25,Rounds!C$2:C$25))</f>
        <v>#N/A</v>
      </c>
      <c r="D8" s="150" t="e">
        <f>IFERROR(_xlfn.XLOOKUP(B8,Rounds!A$2:A$25,Rounds!C$2:C$25), _xlfn.XLOOKUP(B8,Rounds!D$2:D$25,Rounds!B$2:B$25))</f>
        <v>#N/A</v>
      </c>
      <c r="E8" s="151" t="str">
        <f>IFERROR(_xlfn.XLOOKUP(B8,Rounds!A$2:A$25,Rounds!D$2:D$25), _xlfn.XLOOKUP(B8,Rounds!D$2:D$25,Rounds!A$2:A$25))</f>
        <v>Qatar</v>
      </c>
      <c r="F8" s="152"/>
      <c r="G8" s="150" t="e">
        <f>IFERROR(_xlfn.XLOOKUP(F8,Rounds!E$2:E$25,Rounds!F$2:F$25), _xlfn.XLOOKUP(F8,Rounds!H$2:H$25,Rounds!G$2:G$25))</f>
        <v>#N/A</v>
      </c>
      <c r="H8" s="150" t="e">
        <f>IFERROR(_xlfn.XLOOKUP(F8,Rounds!E$2:E$25,Rounds!G$2:G$25), _xlfn.XLOOKUP(F8,Rounds!H$2:H$25,Rounds!F$2:F$25))</f>
        <v>#N/A</v>
      </c>
      <c r="I8" s="151" t="e">
        <f>IFERROR(_xlfn.XLOOKUP(F8,Rounds!E$2:E$25,Rounds!H$2:H$25), _xlfn.XLOOKUP(F8,Rounds!H$2:H$25,Rounds!E$2:E$25))</f>
        <v>#N/A</v>
      </c>
      <c r="J8" s="152"/>
      <c r="K8" s="150" t="e">
        <f>IFERROR(_xlfn.XLOOKUP(J8,Rounds!I$2:I$25,Rounds!J$2:J$25), _xlfn.XLOOKUP(J8,Rounds!L$2:L$25,Rounds!K$2:K$25))</f>
        <v>#N/A</v>
      </c>
      <c r="L8" s="150" t="e">
        <f>IFERROR(_xlfn.XLOOKUP(J8,Rounds!I$2:I$25,Rounds!K$2:K$25), _xlfn.XLOOKUP(J8,Rounds!L$2:L$25,Rounds!J$2:J$25))</f>
        <v>#N/A</v>
      </c>
      <c r="M8" s="151" t="e">
        <f>IFERROR(_xlfn.XLOOKUP(J8,Rounds!I$2:I$25,Rounds!L$2:L$25), _xlfn.XLOOKUP(J8,Rounds!L$2:L$25,Rounds!I$2:I$25))</f>
        <v>#N/A</v>
      </c>
      <c r="N8" s="152"/>
      <c r="O8" s="150" t="e">
        <f>IFERROR(_xlfn.XLOOKUP(N8,Rounds!M$2:M$17,Rounds!N$2:N$17), _xlfn.XLOOKUP(N8,Rounds!P$2:P$17,Rounds!O$2:O$17))</f>
        <v>#N/A</v>
      </c>
      <c r="P8" s="150" t="e">
        <f>IFERROR(_xlfn.XLOOKUP(N8,Rounds!M$2:M$17,Rounds!O$2:O$17), _xlfn.XLOOKUP(N8,Rounds!P$2:P$17,Rounds!N$2:N$17))</f>
        <v>#N/A</v>
      </c>
      <c r="Q8" s="151" t="e">
        <f>IFERROR(_xlfn.XLOOKUP(N8,Rounds!M$2:M$17,Rounds!P$2:P$17), _xlfn.XLOOKUP(N8,Rounds!P$2:P$17,Rounds!M$2:M$17))</f>
        <v>#N/A</v>
      </c>
      <c r="R8" s="152"/>
      <c r="S8" s="150" t="e">
        <f>IFERROR(_xlfn.XLOOKUP(R8,Rounds!Q$2:Q$9,Rounds!R$2:R$9), _xlfn.XLOOKUP(R8,Rounds!T$2:T$9,Rounds!S$2:S$9))</f>
        <v>#N/A</v>
      </c>
      <c r="T8" s="150" t="e">
        <f>IFERROR(_xlfn.XLOOKUP(R8,Rounds!Q$2:Q$9,Rounds!S$2:S$9), _xlfn.XLOOKUP(R8,Rounds!T$2:T$9,Rounds!R$2:R$9))</f>
        <v>#N/A</v>
      </c>
      <c r="U8" s="151" t="e">
        <f>IFERROR(_xlfn.XLOOKUP(R8,Rounds!Q$2:Q$9,Rounds!T$2:T$9), _xlfn.XLOOKUP(R8,Rounds!T$2:T$9,Rounds!Q$2:Q$9))</f>
        <v>#N/A</v>
      </c>
      <c r="V8" s="152"/>
      <c r="W8" s="150" t="e">
        <f>IFERROR(_xlfn.XLOOKUP(V8,Rounds!U$2:U$5,Rounds!V$2:V$5), _xlfn.XLOOKUP(V8,Rounds!X$2:X$5,Rounds!W$2:W$5))</f>
        <v>#N/A</v>
      </c>
      <c r="X8" s="150" t="e">
        <f>IFERROR(_xlfn.XLOOKUP(V8,Rounds!U$2:U$5,Rounds!W$2:W$5), _xlfn.XLOOKUP(V8,Rounds!X$2:X$5,Rounds!V$2:V$5))</f>
        <v>#N/A</v>
      </c>
      <c r="Y8" s="151" t="e">
        <f>IFERROR(_xlfn.XLOOKUP(V8,Rounds!U$2:U$5,Rounds!X$2:X$5), _xlfn.XLOOKUP(V8,Rounds!X$2:X$5,Rounds!U$2:U$5))</f>
        <v>#N/A</v>
      </c>
      <c r="Z8" s="152"/>
      <c r="AA8" s="150" t="e">
        <f>IFERROR(_xlfn.XLOOKUP(Z8,Rounds!Y$2:Y$3,Rounds!Z$2:Z$3), _xlfn.XLOOKUP(Z8,Rounds!AB$2:AB$3,Rounds!AA$2:AA$3))</f>
        <v>#N/A</v>
      </c>
      <c r="AB8" s="150" t="e">
        <f>IFERROR(_xlfn.XLOOKUP(Z8,Rounds!Y$2:Y$3,Rounds!AA$2:AA$3), _xlfn.XLOOKUP(Z8,Rounds!AB$2:AB$3,Rounds!Z$2:Z$3))</f>
        <v>#N/A</v>
      </c>
      <c r="AC8" s="151" t="e">
        <f>IFERROR(_xlfn.XLOOKUP(Z8,Rounds!Y$2:Y$3,Rounds!AB$2:AB$3), _xlfn.XLOOKUP(Z8,Rounds!AB$2:AB$3,Rounds!Y$2:Y$3))</f>
        <v>#N/A</v>
      </c>
      <c r="AD8" s="152"/>
      <c r="AE8" s="150" t="e" cm="1">
        <f t="array" ref="AE8">IFERROR(_xlfn.XLOOKUP(AD8,Rounds!AC$2:AC$2,Rounds!AD$2:AD$2), _xlfn.XLOOKUP(AD8,Rounds!AF$2:AF$2,Rounds!AE$2:AE$2))</f>
        <v>#N/A</v>
      </c>
      <c r="AF8" s="150" t="e" cm="1">
        <f t="array" ref="AF8">IFERROR(_xlfn.XLOOKUP(AD8,Rounds!AC$2:AC$2,Rounds!AE$2:AE$2), _xlfn.XLOOKUP(AD8,Rounds!AF$2:AF$2,Rounds!AD$2:AD$2))</f>
        <v>#N/A</v>
      </c>
      <c r="AG8" s="151" t="e" cm="1">
        <f t="array" ref="AG8">IFERROR(_xlfn.XLOOKUP(AD8,Rounds!AC$2:AC$2,Rounds!AF$2:AF$2), _xlfn.XLOOKUP(AD8,Rounds!AF$2:AF$2,Rounds!AC$2:AC$2))</f>
        <v>#N/A</v>
      </c>
    </row>
  </sheetData>
  <mergeCells count="9">
    <mergeCell ref="V1:Y1"/>
    <mergeCell ref="Z1:AC1"/>
    <mergeCell ref="AD1:AG1"/>
    <mergeCell ref="B1:E1"/>
    <mergeCell ref="A1:A2"/>
    <mergeCell ref="F1:I1"/>
    <mergeCell ref="J1:M1"/>
    <mergeCell ref="N1:Q1"/>
    <mergeCell ref="R1:U1"/>
  </mergeCells>
  <phoneticPr fontId="25" type="noConversion"/>
  <conditionalFormatting sqref="B3 J3 N3 R3 V3 Z3 AD3 F3">
    <cfRule type="duplicateValues" dxfId="234" priority="7"/>
  </conditionalFormatting>
  <conditionalFormatting sqref="B4 J4 N4 R4 V4 Z4 AD4 F4">
    <cfRule type="duplicateValues" dxfId="233" priority="5"/>
  </conditionalFormatting>
  <conditionalFormatting sqref="B5 J5 N5 R5 V5 Z5 AD5 F5">
    <cfRule type="duplicateValues" dxfId="232" priority="4"/>
  </conditionalFormatting>
  <conditionalFormatting sqref="B6 J6 N6 R6 V6 Z6 AD6 F6">
    <cfRule type="duplicateValues" dxfId="231" priority="3"/>
  </conditionalFormatting>
  <conditionalFormatting sqref="B7 J7 N7 R7 V7 Z7 AD7 F7">
    <cfRule type="duplicateValues" dxfId="230" priority="1"/>
  </conditionalFormatting>
  <conditionalFormatting sqref="B8 J8 N8 R8 V8 Z8 AD8 F8">
    <cfRule type="duplicateValues" dxfId="229" priority="2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C454A98-526A-9348-8D90-22E13E320A5F}">
          <x14:formula1>
            <xm:f>AllTeams!$A$1:$A$48</xm:f>
          </x14:formula1>
          <xm:sqref>B3:B8 AD3:AD8 Z3:Z8 J3:J8 N3:N8 R3:R8 V3:V8 F3:F8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97D90-5BC7-4C44-938F-3C1437D4E867}">
  <dimension ref="A1:AF25"/>
  <sheetViews>
    <sheetView zoomScaleNormal="100" workbookViewId="0">
      <selection activeCell="Y24" sqref="Y24"/>
    </sheetView>
  </sheetViews>
  <sheetFormatPr baseColWidth="10" defaultRowHeight="15" x14ac:dyDescent="0.2"/>
  <cols>
    <col min="1" max="1" width="21.1640625" customWidth="1"/>
    <col min="2" max="3" width="3.83203125" style="81" customWidth="1"/>
    <col min="4" max="5" width="21.1640625" customWidth="1"/>
    <col min="6" max="7" width="3.83203125" style="81" customWidth="1"/>
    <col min="8" max="9" width="21.1640625" customWidth="1"/>
    <col min="10" max="11" width="3.83203125" style="81" customWidth="1"/>
    <col min="12" max="13" width="21.1640625" customWidth="1"/>
    <col min="14" max="15" width="3.83203125" style="81" customWidth="1"/>
    <col min="16" max="17" width="21.1640625" customWidth="1"/>
    <col min="18" max="19" width="3.83203125" style="81" customWidth="1"/>
    <col min="20" max="21" width="21.1640625" customWidth="1"/>
    <col min="22" max="23" width="3.83203125" style="81" customWidth="1"/>
    <col min="24" max="25" width="21.1640625" customWidth="1"/>
    <col min="26" max="27" width="3.83203125" style="81" customWidth="1"/>
    <col min="28" max="29" width="21.1640625" customWidth="1"/>
    <col min="30" max="31" width="3.83203125" style="81" customWidth="1"/>
    <col min="32" max="32" width="21.1640625" customWidth="1"/>
  </cols>
  <sheetData>
    <row r="1" spans="1:32" x14ac:dyDescent="0.2">
      <c r="A1" s="192" t="s">
        <v>3705</v>
      </c>
      <c r="B1" s="193"/>
      <c r="C1" s="193"/>
      <c r="D1" s="194"/>
      <c r="E1" s="192" t="s">
        <v>3706</v>
      </c>
      <c r="F1" s="193"/>
      <c r="G1" s="193"/>
      <c r="H1" s="194"/>
      <c r="I1" s="192" t="s">
        <v>3707</v>
      </c>
      <c r="J1" s="193"/>
      <c r="K1" s="193"/>
      <c r="L1" s="194"/>
      <c r="M1" s="192" t="s">
        <v>3708</v>
      </c>
      <c r="N1" s="193"/>
      <c r="O1" s="193"/>
      <c r="P1" s="194"/>
      <c r="Q1" s="192" t="s">
        <v>3709</v>
      </c>
      <c r="R1" s="193"/>
      <c r="S1" s="193"/>
      <c r="T1" s="194"/>
      <c r="U1" s="192" t="s">
        <v>3710</v>
      </c>
      <c r="V1" s="193"/>
      <c r="W1" s="193"/>
      <c r="X1" s="194"/>
      <c r="Y1" s="192" t="s">
        <v>3711</v>
      </c>
      <c r="Z1" s="193"/>
      <c r="AA1" s="193"/>
      <c r="AB1" s="194"/>
      <c r="AC1" s="192" t="s">
        <v>3712</v>
      </c>
      <c r="AD1" s="193"/>
      <c r="AE1" s="193"/>
      <c r="AF1" s="194"/>
    </row>
    <row r="2" spans="1:32" x14ac:dyDescent="0.2">
      <c r="A2" s="132" t="str" cm="1">
        <f t="array" ref="A2:D25">IF('2026 World Cup'!E7:H30="",NA(),'2026 World Cup'!E7:H30)</f>
        <v>Mexico</v>
      </c>
      <c r="B2" s="81" t="e">
        <v>#N/A</v>
      </c>
      <c r="C2" s="81" t="e">
        <v>#N/A</v>
      </c>
      <c r="D2" s="134" t="str">
        <v>South Africa</v>
      </c>
      <c r="E2" s="132" t="str" cm="1">
        <f t="array" ref="E2:H25">IF('2026 World Cup'!E31:H54="",NA(),'2026 World Cup'!E31:H54)</f>
        <v>Czech Republic</v>
      </c>
      <c r="F2" s="81" t="e">
        <v>#N/A</v>
      </c>
      <c r="G2" s="81" t="e">
        <v>#N/A</v>
      </c>
      <c r="H2" s="134" t="str">
        <v>South Africa</v>
      </c>
      <c r="I2" s="132" t="str" cm="1">
        <f t="array" ref="I2:L25">IF('2026 World Cup'!E55:H78="",NA(),'2026 World Cup'!E55:H78)</f>
        <v>Scotland</v>
      </c>
      <c r="J2" s="81" t="e">
        <v>#N/A</v>
      </c>
      <c r="K2" s="81" t="e">
        <v>#N/A</v>
      </c>
      <c r="L2" s="134" t="str">
        <v>Brazil</v>
      </c>
      <c r="M2" s="132" t="str">
        <f>IF('2026 World Cup'!BL10="",NA(),'2026 World Cup'!BL10)</f>
        <v>1E</v>
      </c>
      <c r="N2" s="81" t="e">
        <f>IF('2026 World Cup'!$BM10="",NA(),'2026 World Cup'!$BM10)</f>
        <v>#N/A</v>
      </c>
      <c r="O2" s="81" t="e">
        <f>IF('2026 World Cup'!$BM11="",NA(),'2026 World Cup'!$BM11)</f>
        <v>#N/A</v>
      </c>
      <c r="P2" s="134" t="str">
        <f>'2026 World Cup'!BL11</f>
        <v>3rd Group A/B/C/D/F</v>
      </c>
      <c r="Q2" s="132" t="str">
        <f>'2026 World Cup'!BS12</f>
        <v/>
      </c>
      <c r="R2" s="81" t="e">
        <f>IF('2026 World Cup'!$BT12="",NA(),'2026 World Cup'!$BT12)</f>
        <v>#N/A</v>
      </c>
      <c r="S2" s="81" t="e">
        <f>IF('2026 World Cup'!$BT13="",NA(),'2026 World Cup'!$BT13)</f>
        <v>#N/A</v>
      </c>
      <c r="T2" s="134" t="str">
        <f>'2026 World Cup'!BS13</f>
        <v/>
      </c>
      <c r="U2" s="132" t="str">
        <f>'2026 World Cup'!BZ16</f>
        <v/>
      </c>
      <c r="V2" s="81" t="e">
        <f>IF('2026 World Cup'!$CA16="",NA(),'2026 World Cup'!$CA16)</f>
        <v>#N/A</v>
      </c>
      <c r="W2" s="81" t="e">
        <f>IF('2026 World Cup'!$CA17="",NA(),'2026 World Cup'!$CA17)</f>
        <v>#N/A</v>
      </c>
      <c r="X2" s="134" t="str">
        <f>'2026 World Cup'!BZ17</f>
        <v/>
      </c>
      <c r="Y2" s="132" t="str">
        <f>'2026 World Cup'!CG23</f>
        <v/>
      </c>
      <c r="Z2" s="81" t="e">
        <f>IF('2026 World Cup'!$CH23="",NA(),'2026 World Cup'!$CH23)</f>
        <v>#N/A</v>
      </c>
      <c r="AA2" s="81" t="e">
        <f>IF('2026 World Cup'!$CH24="",NA(),'2026 World Cup'!$CH24)</f>
        <v>#N/A</v>
      </c>
      <c r="AB2" s="134" t="str">
        <f>'2026 World Cup'!CG24</f>
        <v/>
      </c>
      <c r="AC2" s="135" t="str">
        <f>'2026 World Cup'!CN37</f>
        <v/>
      </c>
      <c r="AD2" s="153" t="e">
        <f>IF('2026 World Cup'!$CO37="",NA(),'2026 World Cup'!$CO37)</f>
        <v>#N/A</v>
      </c>
      <c r="AE2" s="153" t="e">
        <f>IF('2026 World Cup'!$CO38="",NA(),'2026 World Cup'!$CO38)</f>
        <v>#N/A</v>
      </c>
      <c r="AF2" s="136" t="str">
        <f>'2026 World Cup'!CN38</f>
        <v/>
      </c>
    </row>
    <row r="3" spans="1:32" x14ac:dyDescent="0.2">
      <c r="A3" s="132" t="str">
        <v>Korea Republic</v>
      </c>
      <c r="B3" s="81" t="e">
        <v>#N/A</v>
      </c>
      <c r="C3" s="81" t="e">
        <v>#N/A</v>
      </c>
      <c r="D3" s="134" t="str">
        <v>Czech Republic</v>
      </c>
      <c r="E3" s="132" t="str">
        <v>Switzerland</v>
      </c>
      <c r="F3" s="81" t="e">
        <v>#N/A</v>
      </c>
      <c r="G3" s="81" t="e">
        <v>#N/A</v>
      </c>
      <c r="H3" s="134" t="str">
        <v>Bosnia and Herzegovina</v>
      </c>
      <c r="I3" s="132" t="str">
        <v>Morocco</v>
      </c>
      <c r="J3" s="81" t="e">
        <v>#N/A</v>
      </c>
      <c r="K3" s="81" t="e">
        <v>#N/A</v>
      </c>
      <c r="L3" s="134" t="str">
        <v>Haiti</v>
      </c>
      <c r="M3" s="132" t="str">
        <f>'2026 World Cup'!BL14</f>
        <v>1I</v>
      </c>
      <c r="N3" s="81" t="e">
        <f>IF('2026 World Cup'!$BM14="",NA(),'2026 World Cup'!$BM14)</f>
        <v>#N/A</v>
      </c>
      <c r="O3" s="81" t="e">
        <f>IF('2026 World Cup'!$BM15="",NA(),'2026 World Cup'!$BM15)</f>
        <v>#N/A</v>
      </c>
      <c r="P3" s="134" t="str">
        <f>'2026 World Cup'!BL15</f>
        <v>3rd Group C/D/F/G/H</v>
      </c>
      <c r="Q3" s="132" t="str">
        <f>'2026 World Cup'!BS20</f>
        <v/>
      </c>
      <c r="R3" s="81" t="e">
        <f>IF('2026 World Cup'!$BT20="",NA(),'2026 World Cup'!$BT20)</f>
        <v>#N/A</v>
      </c>
      <c r="S3" s="81" t="e">
        <f>IF('2026 World Cup'!$BT21="",NA(),'2026 World Cup'!$BT21)</f>
        <v>#N/A</v>
      </c>
      <c r="T3" s="134" t="str">
        <f>'2026 World Cup'!BS21</f>
        <v/>
      </c>
      <c r="U3" s="132" t="str">
        <f>'2026 World Cup'!BZ32</f>
        <v/>
      </c>
      <c r="V3" s="81" t="e">
        <f>IF('2026 World Cup'!$CA32="",NA(),'2026 World Cup'!$CA32)</f>
        <v>#N/A</v>
      </c>
      <c r="W3" s="81" t="e">
        <f>IF('2026 World Cup'!$CA33="",NA(),'2026 World Cup'!$CA33)</f>
        <v>#N/A</v>
      </c>
      <c r="X3" s="134" t="str">
        <f>'2026 World Cup'!BZ33</f>
        <v/>
      </c>
      <c r="Y3" s="135" t="str">
        <f>'2026 World Cup'!CG55</f>
        <v/>
      </c>
      <c r="Z3" s="153" t="e">
        <f>IF('2026 World Cup'!$CH55="",NA(),'2026 World Cup'!$CH55)</f>
        <v>#N/A</v>
      </c>
      <c r="AA3" s="153" t="e">
        <f>IF('2026 World Cup'!$CH56="",NA(),'2026 World Cup'!$CH56)</f>
        <v>#N/A</v>
      </c>
      <c r="AB3" s="136" t="str">
        <f>'2026 World Cup'!CG56</f>
        <v/>
      </c>
    </row>
    <row r="4" spans="1:32" x14ac:dyDescent="0.2">
      <c r="A4" s="132" t="str">
        <v>Canada</v>
      </c>
      <c r="B4" s="81" t="e">
        <v>#N/A</v>
      </c>
      <c r="C4" s="81" t="e">
        <v>#N/A</v>
      </c>
      <c r="D4" s="134" t="str">
        <v>Bosnia and Herzegovina</v>
      </c>
      <c r="E4" s="132" t="str">
        <v>Canada</v>
      </c>
      <c r="F4" s="81" t="e">
        <v>#N/A</v>
      </c>
      <c r="G4" s="81" t="e">
        <v>#N/A</v>
      </c>
      <c r="H4" s="134" t="str">
        <v>Qatar</v>
      </c>
      <c r="I4" s="132" t="str">
        <v>Switzerland</v>
      </c>
      <c r="J4" s="81" t="e">
        <v>#N/A</v>
      </c>
      <c r="K4" s="81" t="e">
        <v>#N/A</v>
      </c>
      <c r="L4" s="134" t="str">
        <v>Canada</v>
      </c>
      <c r="M4" s="132" t="str">
        <f>'2026 World Cup'!BL18</f>
        <v>2A</v>
      </c>
      <c r="N4" s="81" t="e">
        <f>IF('2026 World Cup'!$BM18="",NA(),'2026 World Cup'!$BM18)</f>
        <v>#N/A</v>
      </c>
      <c r="O4" s="81" t="e">
        <f>IF('2026 World Cup'!$BM19="",NA(),'2026 World Cup'!$BM19)</f>
        <v>#N/A</v>
      </c>
      <c r="P4" s="134" t="str">
        <f>'2026 World Cup'!BL19</f>
        <v>2B</v>
      </c>
      <c r="Q4" s="132" t="str">
        <f>'2026 World Cup'!BS28</f>
        <v/>
      </c>
      <c r="R4" s="81" t="e">
        <f>IF('2026 World Cup'!$BT28="",NA(),'2026 World Cup'!$BT28)</f>
        <v>#N/A</v>
      </c>
      <c r="S4" s="81" t="e">
        <f>IF('2026 World Cup'!$BT29="",NA(),'2026 World Cup'!$BT29)</f>
        <v>#N/A</v>
      </c>
      <c r="T4" s="134" t="str">
        <f>'2026 World Cup'!BS29</f>
        <v/>
      </c>
      <c r="U4" s="132" t="str">
        <f>'2026 World Cup'!BZ48</f>
        <v/>
      </c>
      <c r="V4" s="81" t="e">
        <f>IF('2026 World Cup'!$CA48="",NA(),'2026 World Cup'!$CA48)</f>
        <v>#N/A</v>
      </c>
      <c r="W4" s="81" t="e">
        <f>IF('2026 World Cup'!$CA49="",NA(),'2026 World Cup'!$CA49)</f>
        <v>#N/A</v>
      </c>
      <c r="X4" s="134" t="str">
        <f>'2026 World Cup'!BZ49</f>
        <v/>
      </c>
    </row>
    <row r="5" spans="1:32" x14ac:dyDescent="0.2">
      <c r="A5" s="132" t="str">
        <v>United States</v>
      </c>
      <c r="B5" s="81" t="e">
        <v>#N/A</v>
      </c>
      <c r="C5" s="81" t="e">
        <v>#N/A</v>
      </c>
      <c r="D5" s="134" t="str">
        <v>Paraguay</v>
      </c>
      <c r="E5" s="132" t="str">
        <v>Mexico</v>
      </c>
      <c r="F5" s="81" t="e">
        <v>#N/A</v>
      </c>
      <c r="G5" s="81" t="e">
        <v>#N/A</v>
      </c>
      <c r="H5" s="134" t="str">
        <v>Korea Republic</v>
      </c>
      <c r="I5" s="132" t="str">
        <v>Bosnia and Herzegovina</v>
      </c>
      <c r="J5" s="81" t="e">
        <v>#N/A</v>
      </c>
      <c r="K5" s="81" t="e">
        <v>#N/A</v>
      </c>
      <c r="L5" s="134" t="str">
        <v>Qatar</v>
      </c>
      <c r="M5" s="132" t="str">
        <f>'2026 World Cup'!BL22</f>
        <v>1F</v>
      </c>
      <c r="N5" s="81" t="e">
        <f>IF('2026 World Cup'!$BM22="",NA(),'2026 World Cup'!$BM22)</f>
        <v>#N/A</v>
      </c>
      <c r="O5" s="81" t="e">
        <f>IF('2026 World Cup'!$BM23="",NA(),'2026 World Cup'!$BM23)</f>
        <v>#N/A</v>
      </c>
      <c r="P5" s="134" t="str">
        <f>'2026 World Cup'!BL23</f>
        <v>2C</v>
      </c>
      <c r="Q5" s="132" t="str">
        <f>'2026 World Cup'!BS36</f>
        <v/>
      </c>
      <c r="R5" s="81" t="e">
        <f>IF('2026 World Cup'!$BT36="",NA(),'2026 World Cup'!$BT36)</f>
        <v>#N/A</v>
      </c>
      <c r="S5" s="81" t="e">
        <f>IF('2026 World Cup'!$BT37="",NA(),'2026 World Cup'!$BT37)</f>
        <v>#N/A</v>
      </c>
      <c r="T5" s="134" t="str">
        <f>'2026 World Cup'!BS37</f>
        <v/>
      </c>
      <c r="U5" s="135" t="str">
        <f>'2026 World Cup'!BZ64</f>
        <v/>
      </c>
      <c r="V5" s="153" t="e">
        <f>IF('2026 World Cup'!$CA64="",NA(),'2026 World Cup'!$CA64)</f>
        <v>#N/A</v>
      </c>
      <c r="W5" s="153" t="e">
        <f>IF('2026 World Cup'!$CA65="",NA(),'2026 World Cup'!$CA65)</f>
        <v>#N/A</v>
      </c>
      <c r="X5" s="136" t="str">
        <f>'2026 World Cup'!BZ65</f>
        <v/>
      </c>
    </row>
    <row r="6" spans="1:32" x14ac:dyDescent="0.2">
      <c r="A6" s="132" t="str">
        <v>Haiti</v>
      </c>
      <c r="B6" s="81" t="e">
        <v>#N/A</v>
      </c>
      <c r="C6" s="81" t="e">
        <v>#N/A</v>
      </c>
      <c r="D6" s="134" t="str">
        <v>Scotland</v>
      </c>
      <c r="E6" s="132" t="str">
        <v>Brazil</v>
      </c>
      <c r="F6" s="81" t="e">
        <v>#N/A</v>
      </c>
      <c r="G6" s="81" t="e">
        <v>#N/A</v>
      </c>
      <c r="H6" s="134" t="str">
        <v>Haiti</v>
      </c>
      <c r="I6" s="132" t="str">
        <v>Czech Republic</v>
      </c>
      <c r="J6" s="81" t="e">
        <v>#N/A</v>
      </c>
      <c r="K6" s="81" t="e">
        <v>#N/A</v>
      </c>
      <c r="L6" s="134" t="str">
        <v>Mexico</v>
      </c>
      <c r="M6" s="132" t="str">
        <f>'2026 World Cup'!BL26</f>
        <v>2K</v>
      </c>
      <c r="N6" s="81" t="e">
        <f>IF('2026 World Cup'!$BM26="",NA(),'2026 World Cup'!$BM26)</f>
        <v>#N/A</v>
      </c>
      <c r="O6" s="81" t="e">
        <f>IF('2026 World Cup'!$BM27="",NA(),'2026 World Cup'!$BM27)</f>
        <v>#N/A</v>
      </c>
      <c r="P6" s="134" t="str">
        <f>'2026 World Cup'!BL27</f>
        <v>2L</v>
      </c>
      <c r="Q6" s="132" t="str">
        <f>'2026 World Cup'!BS44</f>
        <v/>
      </c>
      <c r="R6" s="81" t="e">
        <f>IF('2026 World Cup'!$BT44="",NA(),'2026 World Cup'!$BT44)</f>
        <v>#N/A</v>
      </c>
      <c r="S6" s="81" t="e">
        <f>IF('2026 World Cup'!$BT45="",NA(),'2026 World Cup'!$BT45)</f>
        <v>#N/A</v>
      </c>
      <c r="T6" s="134" t="str">
        <f>'2026 World Cup'!BS45</f>
        <v/>
      </c>
    </row>
    <row r="7" spans="1:32" x14ac:dyDescent="0.2">
      <c r="A7" s="132" t="str">
        <v>Australia</v>
      </c>
      <c r="B7" s="81" t="e">
        <v>#N/A</v>
      </c>
      <c r="C7" s="81" t="e">
        <v>#N/A</v>
      </c>
      <c r="D7" s="134" t="str">
        <v>Turkey</v>
      </c>
      <c r="E7" s="132" t="str">
        <v>Scotland</v>
      </c>
      <c r="F7" s="81" t="e">
        <v>#N/A</v>
      </c>
      <c r="G7" s="81" t="e">
        <v>#N/A</v>
      </c>
      <c r="H7" s="134" t="str">
        <v>Morocco</v>
      </c>
      <c r="I7" s="132" t="str">
        <v>South Africa</v>
      </c>
      <c r="J7" s="81" t="e">
        <v>#N/A</v>
      </c>
      <c r="K7" s="81" t="e">
        <v>#N/A</v>
      </c>
      <c r="L7" s="134" t="str">
        <v>Korea Republic</v>
      </c>
      <c r="M7" s="132" t="str">
        <f>'2026 World Cup'!BL30</f>
        <v>1H</v>
      </c>
      <c r="N7" s="81" t="e">
        <f>IF('2026 World Cup'!$BM30="",NA(),'2026 World Cup'!$BM30)</f>
        <v>#N/A</v>
      </c>
      <c r="O7" s="81" t="e">
        <f>IF('2026 World Cup'!$BM31="",NA(),'2026 World Cup'!$BM31)</f>
        <v>#N/A</v>
      </c>
      <c r="P7" s="134" t="str">
        <f>'2026 World Cup'!BL31</f>
        <v>2J</v>
      </c>
      <c r="Q7" s="132" t="str">
        <f>'2026 World Cup'!BS52</f>
        <v/>
      </c>
      <c r="R7" s="81" t="e">
        <f>IF('2026 World Cup'!$BT52="",NA(),'2026 World Cup'!$BT52)</f>
        <v>#N/A</v>
      </c>
      <c r="S7" s="81" t="e">
        <f>IF('2026 World Cup'!$BT53="",NA(),'2026 World Cup'!$BT53)</f>
        <v>#N/A</v>
      </c>
      <c r="T7" s="134" t="str">
        <f>'2026 World Cup'!BS53</f>
        <v/>
      </c>
    </row>
    <row r="8" spans="1:32" x14ac:dyDescent="0.2">
      <c r="A8" s="132" t="str">
        <v>Brazil</v>
      </c>
      <c r="B8" s="81" t="e">
        <v>#N/A</v>
      </c>
      <c r="C8" s="81" t="e">
        <v>#N/A</v>
      </c>
      <c r="D8" s="134" t="str">
        <v>Morocco</v>
      </c>
      <c r="E8" s="132" t="str">
        <v>United States</v>
      </c>
      <c r="F8" s="81" t="e">
        <v>#N/A</v>
      </c>
      <c r="G8" s="81" t="e">
        <v>#N/A</v>
      </c>
      <c r="H8" s="134" t="str">
        <v>Australia</v>
      </c>
      <c r="I8" s="132" t="str">
        <v>Curaçao</v>
      </c>
      <c r="J8" s="81" t="e">
        <v>#N/A</v>
      </c>
      <c r="K8" s="81" t="e">
        <v>#N/A</v>
      </c>
      <c r="L8" s="134" t="str">
        <v>Ivory Coast</v>
      </c>
      <c r="M8" s="132" t="str">
        <f>'2026 World Cup'!BL34</f>
        <v>1D</v>
      </c>
      <c r="N8" s="81" t="e">
        <f>IF('2026 World Cup'!$BM34="",NA(),'2026 World Cup'!$BM34)</f>
        <v>#N/A</v>
      </c>
      <c r="O8" s="81" t="e">
        <f>IF('2026 World Cup'!$BM35="",NA(),'2026 World Cup'!$BM35)</f>
        <v>#N/A</v>
      </c>
      <c r="P8" s="134" t="str">
        <f>'2026 World Cup'!BL35</f>
        <v>3rd Group B/E/F/I/J</v>
      </c>
      <c r="Q8" s="132" t="str">
        <f>'2026 World Cup'!BS60</f>
        <v/>
      </c>
      <c r="R8" s="81" t="e">
        <f>IF('2026 World Cup'!$BT60="",NA(),'2026 World Cup'!$BT60)</f>
        <v>#N/A</v>
      </c>
      <c r="S8" s="81" t="e">
        <f>IF('2026 World Cup'!$BT61="",NA(),'2026 World Cup'!$BT61)</f>
        <v>#N/A</v>
      </c>
      <c r="T8" s="134" t="str">
        <f>'2026 World Cup'!BS61</f>
        <v/>
      </c>
    </row>
    <row r="9" spans="1:32" x14ac:dyDescent="0.2">
      <c r="A9" s="132" t="str">
        <v>Qatar</v>
      </c>
      <c r="B9" s="81" t="e">
        <v>#N/A</v>
      </c>
      <c r="C9" s="81" t="e">
        <v>#N/A</v>
      </c>
      <c r="D9" s="134" t="str">
        <v>Switzerland</v>
      </c>
      <c r="E9" s="132" t="str">
        <v>Turkey</v>
      </c>
      <c r="F9" s="81" t="e">
        <v>#N/A</v>
      </c>
      <c r="G9" s="81" t="e">
        <v>#N/A</v>
      </c>
      <c r="H9" s="134" t="str">
        <v>Paraguay</v>
      </c>
      <c r="I9" s="132" t="str">
        <v>Ecuador</v>
      </c>
      <c r="J9" s="81" t="e">
        <v>#N/A</v>
      </c>
      <c r="K9" s="81" t="e">
        <v>#N/A</v>
      </c>
      <c r="L9" s="134" t="str">
        <v>Germany</v>
      </c>
      <c r="M9" s="132" t="str">
        <f>'2026 World Cup'!BL38</f>
        <v>1G</v>
      </c>
      <c r="N9" s="81" t="e">
        <f>IF('2026 World Cup'!$BM38="",NA(),'2026 World Cup'!$BM38)</f>
        <v>#N/A</v>
      </c>
      <c r="O9" s="81" t="e">
        <f>IF('2026 World Cup'!$BM39="",NA(),'2026 World Cup'!$BM39)</f>
        <v>#N/A</v>
      </c>
      <c r="P9" s="134" t="str">
        <f>'2026 World Cup'!BL39</f>
        <v>3rd Group A/E/H/I/J</v>
      </c>
      <c r="Q9" s="135" t="str">
        <f>'2026 World Cup'!BS68</f>
        <v/>
      </c>
      <c r="R9" s="153" t="e">
        <f>IF('2026 World Cup'!$BT68="",NA(),'2026 World Cup'!$BT68)</f>
        <v>#N/A</v>
      </c>
      <c r="S9" s="153" t="e">
        <f>IF('2026 World Cup'!$BT69="",NA(),'2026 World Cup'!$BT69)</f>
        <v>#N/A</v>
      </c>
      <c r="T9" s="136" t="str">
        <f>'2026 World Cup'!BS69</f>
        <v/>
      </c>
    </row>
    <row r="10" spans="1:32" x14ac:dyDescent="0.2">
      <c r="A10" s="132" t="str">
        <v>Ivory Coast</v>
      </c>
      <c r="B10" s="81" t="e">
        <v>#N/A</v>
      </c>
      <c r="C10" s="81" t="e">
        <v>#N/A</v>
      </c>
      <c r="D10" s="134" t="str">
        <v>Ecuador</v>
      </c>
      <c r="E10" s="132" t="str">
        <v>Germany</v>
      </c>
      <c r="F10" s="81" t="e">
        <v>#N/A</v>
      </c>
      <c r="G10" s="81" t="e">
        <v>#N/A</v>
      </c>
      <c r="H10" s="134" t="str">
        <v>Ivory Coast</v>
      </c>
      <c r="I10" s="132" t="str">
        <v>Japan</v>
      </c>
      <c r="J10" s="81" t="e">
        <v>#N/A</v>
      </c>
      <c r="K10" s="81" t="e">
        <v>#N/A</v>
      </c>
      <c r="L10" s="134" t="str">
        <v>Sweden</v>
      </c>
      <c r="M10" s="132" t="str">
        <f>'2026 World Cup'!BL42</f>
        <v>1C</v>
      </c>
      <c r="N10" s="81" t="e">
        <f>IF('2026 World Cup'!$BM42="",NA(),'2026 World Cup'!$BM42)</f>
        <v>#N/A</v>
      </c>
      <c r="O10" s="81" t="e">
        <f>IF('2026 World Cup'!$BM43="",NA(),'2026 World Cup'!$BM43)</f>
        <v>#N/A</v>
      </c>
      <c r="P10" s="134" t="str">
        <f>'2026 World Cup'!BL43</f>
        <v>2F</v>
      </c>
    </row>
    <row r="11" spans="1:32" x14ac:dyDescent="0.2">
      <c r="A11" s="132" t="str">
        <v>Germany</v>
      </c>
      <c r="B11" s="81" t="e">
        <v>#N/A</v>
      </c>
      <c r="C11" s="81" t="e">
        <v>#N/A</v>
      </c>
      <c r="D11" s="134" t="str">
        <v>Curaçao</v>
      </c>
      <c r="E11" s="132" t="str">
        <v>Ecuador</v>
      </c>
      <c r="F11" s="81" t="e">
        <v>#N/A</v>
      </c>
      <c r="G11" s="81" t="e">
        <v>#N/A</v>
      </c>
      <c r="H11" s="134" t="str">
        <v>Curaçao</v>
      </c>
      <c r="I11" s="132" t="str">
        <v>Tunisia</v>
      </c>
      <c r="J11" s="81" t="e">
        <v>#N/A</v>
      </c>
      <c r="K11" s="81" t="e">
        <v>#N/A</v>
      </c>
      <c r="L11" s="134" t="str">
        <v>Netherlands</v>
      </c>
      <c r="M11" s="132" t="str">
        <f>'2026 World Cup'!BL46</f>
        <v>2E</v>
      </c>
      <c r="N11" s="81" t="e">
        <f>IF('2026 World Cup'!$BM46="",NA(),'2026 World Cup'!$BM46)</f>
        <v>#N/A</v>
      </c>
      <c r="O11" s="81" t="e">
        <f>IF('2026 World Cup'!$BM47="",NA(),'2026 World Cup'!$BM47)</f>
        <v>#N/A</v>
      </c>
      <c r="P11" s="134" t="str">
        <f>'2026 World Cup'!BL47</f>
        <v>2I</v>
      </c>
    </row>
    <row r="12" spans="1:32" x14ac:dyDescent="0.2">
      <c r="A12" s="132" t="str">
        <v>Netherlands</v>
      </c>
      <c r="B12" s="81" t="e">
        <v>#N/A</v>
      </c>
      <c r="C12" s="81" t="e">
        <v>#N/A</v>
      </c>
      <c r="D12" s="134" t="str">
        <v>Japan</v>
      </c>
      <c r="E12" s="132" t="str">
        <v>Netherlands</v>
      </c>
      <c r="F12" s="81" t="e">
        <v>#N/A</v>
      </c>
      <c r="G12" s="81" t="e">
        <v>#N/A</v>
      </c>
      <c r="H12" s="134" t="str">
        <v>Sweden</v>
      </c>
      <c r="I12" s="132" t="str">
        <v>Turkey</v>
      </c>
      <c r="J12" s="81" t="e">
        <v>#N/A</v>
      </c>
      <c r="K12" s="81" t="e">
        <v>#N/A</v>
      </c>
      <c r="L12" s="134" t="str">
        <v>United States</v>
      </c>
      <c r="M12" s="132" t="str">
        <f>'2026 World Cup'!BL50</f>
        <v>1A</v>
      </c>
      <c r="N12" s="81" t="e">
        <f>IF('2026 World Cup'!$BM40="",NA(),'2026 World Cup'!$BM40)</f>
        <v>#N/A</v>
      </c>
      <c r="O12" s="81" t="e">
        <f>IF('2026 World Cup'!$BM41="",NA(),'2026 World Cup'!$BM41)</f>
        <v>#N/A</v>
      </c>
      <c r="P12" s="134" t="str">
        <f>'2026 World Cup'!BL51</f>
        <v>3rd Group C/E/F/H/I</v>
      </c>
    </row>
    <row r="13" spans="1:32" x14ac:dyDescent="0.2">
      <c r="A13" s="132" t="str">
        <v>Sweden</v>
      </c>
      <c r="B13" s="81" t="e">
        <v>#N/A</v>
      </c>
      <c r="C13" s="81" t="e">
        <v>#N/A</v>
      </c>
      <c r="D13" s="134" t="str">
        <v>Tunisia</v>
      </c>
      <c r="E13" s="132" t="str">
        <v>Tunisia</v>
      </c>
      <c r="F13" s="81" t="e">
        <v>#N/A</v>
      </c>
      <c r="G13" s="81" t="e">
        <v>#N/A</v>
      </c>
      <c r="H13" s="134" t="str">
        <v>Japan</v>
      </c>
      <c r="I13" s="132" t="str">
        <v>Paraguay</v>
      </c>
      <c r="J13" s="81" t="e">
        <v>#N/A</v>
      </c>
      <c r="K13" s="81" t="e">
        <v>#N/A</v>
      </c>
      <c r="L13" s="134" t="str">
        <v>Australia</v>
      </c>
      <c r="M13" s="132" t="str">
        <f>'2026 World Cup'!BL54</f>
        <v>1L</v>
      </c>
      <c r="N13" s="81" t="e">
        <f>IF('2026 World Cup'!$BM54="",NA(),'2026 World Cup'!$BM54)</f>
        <v>#N/A</v>
      </c>
      <c r="O13" s="81" t="e">
        <f>IF('2026 World Cup'!$BM55="",NA(),'2026 World Cup'!$BM55)</f>
        <v>#N/A</v>
      </c>
      <c r="P13" s="134" t="str">
        <f>'2026 World Cup'!BL55</f>
        <v>3rd Group E/H/I/J/K</v>
      </c>
    </row>
    <row r="14" spans="1:32" x14ac:dyDescent="0.2">
      <c r="A14" s="132" t="str">
        <v>Saudi Arabia</v>
      </c>
      <c r="B14" s="81" t="e">
        <v>#N/A</v>
      </c>
      <c r="C14" s="81" t="e">
        <v>#N/A</v>
      </c>
      <c r="D14" s="134" t="str">
        <v>Uruguay</v>
      </c>
      <c r="E14" s="132" t="str">
        <v>Uruguay</v>
      </c>
      <c r="F14" s="81" t="e">
        <v>#N/A</v>
      </c>
      <c r="G14" s="81" t="e">
        <v>#N/A</v>
      </c>
      <c r="H14" s="134" t="str">
        <v>Cape Verde</v>
      </c>
      <c r="I14" s="132" t="str">
        <v>Norway</v>
      </c>
      <c r="J14" s="81" t="e">
        <v>#N/A</v>
      </c>
      <c r="K14" s="81" t="e">
        <v>#N/A</v>
      </c>
      <c r="L14" s="134" t="str">
        <v>France</v>
      </c>
      <c r="M14" s="132" t="str">
        <f>'2026 World Cup'!BL58</f>
        <v>1J</v>
      </c>
      <c r="N14" s="81" t="e">
        <f>IF('2026 World Cup'!$BM58="",NA(),'2026 World Cup'!$BM58)</f>
        <v>#N/A</v>
      </c>
      <c r="O14" s="81" t="e">
        <f>IF('2026 World Cup'!$BM59="",NA(),'2026 World Cup'!$BM59)</f>
        <v>#N/A</v>
      </c>
      <c r="P14" s="134" t="str">
        <f>'2026 World Cup'!BL59</f>
        <v>2H</v>
      </c>
    </row>
    <row r="15" spans="1:32" x14ac:dyDescent="0.2">
      <c r="A15" s="132" t="str">
        <v>Spain</v>
      </c>
      <c r="B15" s="81" t="e">
        <v>#N/A</v>
      </c>
      <c r="C15" s="81" t="e">
        <v>#N/A</v>
      </c>
      <c r="D15" s="134" t="str">
        <v>Cape Verde</v>
      </c>
      <c r="E15" s="132" t="str">
        <v>Spain</v>
      </c>
      <c r="F15" s="81" t="e">
        <v>#N/A</v>
      </c>
      <c r="G15" s="81" t="e">
        <v>#N/A</v>
      </c>
      <c r="H15" s="134" t="str">
        <v>Saudi Arabia</v>
      </c>
      <c r="I15" s="132" t="str">
        <v>Senegal</v>
      </c>
      <c r="J15" s="81" t="e">
        <v>#N/A</v>
      </c>
      <c r="K15" s="81" t="e">
        <v>#N/A</v>
      </c>
      <c r="L15" s="134" t="str">
        <v>Iraq</v>
      </c>
      <c r="M15" s="132" t="str">
        <f>'2026 World Cup'!BL62</f>
        <v>2D</v>
      </c>
      <c r="N15" s="81" t="e">
        <f>IF('2026 World Cup'!$BM62="",NA(),'2026 World Cup'!$BM62)</f>
        <v>#N/A</v>
      </c>
      <c r="O15" s="81" t="e">
        <f>IF('2026 World Cup'!$BM63="",NA(),'2026 World Cup'!$BM63)</f>
        <v>#N/A</v>
      </c>
      <c r="P15" s="134" t="str">
        <f>'2026 World Cup'!BL63</f>
        <v>2G</v>
      </c>
    </row>
    <row r="16" spans="1:32" x14ac:dyDescent="0.2">
      <c r="A16" s="132" t="str">
        <v>Iran</v>
      </c>
      <c r="B16" s="81" t="e">
        <v>#N/A</v>
      </c>
      <c r="C16" s="81" t="e">
        <v>#N/A</v>
      </c>
      <c r="D16" s="134" t="str">
        <v>New Zealand</v>
      </c>
      <c r="E16" s="132" t="str">
        <v>Belgium</v>
      </c>
      <c r="F16" s="81" t="e">
        <v>#N/A</v>
      </c>
      <c r="G16" s="81" t="e">
        <v>#N/A</v>
      </c>
      <c r="H16" s="134" t="str">
        <v>Iran</v>
      </c>
      <c r="I16" s="132" t="str">
        <v>Egypt</v>
      </c>
      <c r="J16" s="81" t="e">
        <v>#N/A</v>
      </c>
      <c r="K16" s="81" t="e">
        <v>#N/A</v>
      </c>
      <c r="L16" s="134" t="str">
        <v>Iran</v>
      </c>
      <c r="M16" s="132" t="str">
        <f>'2026 World Cup'!BL66</f>
        <v>1B</v>
      </c>
      <c r="N16" s="81" t="e">
        <f>IF('2026 World Cup'!$BM66="",NA(),'2026 World Cup'!$BM66)</f>
        <v>#N/A</v>
      </c>
      <c r="O16" s="81" t="e">
        <f>IF('2026 World Cup'!$BM67="",NA(),'2026 World Cup'!$BM67)</f>
        <v>#N/A</v>
      </c>
      <c r="P16" s="134" t="str">
        <f>'2026 World Cup'!BL67</f>
        <v>3rd Group E/F/G/I/J</v>
      </c>
    </row>
    <row r="17" spans="1:16" x14ac:dyDescent="0.2">
      <c r="A17" s="132" t="str">
        <v>Belgium</v>
      </c>
      <c r="B17" s="81" t="e">
        <v>#N/A</v>
      </c>
      <c r="C17" s="81" t="e">
        <v>#N/A</v>
      </c>
      <c r="D17" s="134" t="str">
        <v>Egypt</v>
      </c>
      <c r="E17" s="132" t="str">
        <v>New Zealand</v>
      </c>
      <c r="F17" s="81" t="e">
        <v>#N/A</v>
      </c>
      <c r="G17" s="81" t="e">
        <v>#N/A</v>
      </c>
      <c r="H17" s="134" t="str">
        <v>Egypt</v>
      </c>
      <c r="I17" s="132" t="str">
        <v>New Zealand</v>
      </c>
      <c r="J17" s="81" t="e">
        <v>#N/A</v>
      </c>
      <c r="K17" s="81" t="e">
        <v>#N/A</v>
      </c>
      <c r="L17" s="134" t="str">
        <v>Belgium</v>
      </c>
      <c r="M17" s="135" t="str">
        <f>'2026 World Cup'!BL70</f>
        <v>1K</v>
      </c>
      <c r="N17" s="153" t="e">
        <f>IF('2026 World Cup'!$BM70="",NA(),'2026 World Cup'!$BM70)</f>
        <v>#N/A</v>
      </c>
      <c r="O17" s="153" t="e">
        <f>IF('2026 World Cup'!$BM71="",NA(),'2026 World Cup'!$BM71)</f>
        <v>#N/A</v>
      </c>
      <c r="P17" s="136" t="str">
        <f>'2026 World Cup'!BL71</f>
        <v>3rd Group D/E/I/J/L</v>
      </c>
    </row>
    <row r="18" spans="1:16" x14ac:dyDescent="0.2">
      <c r="A18" s="132" t="str">
        <v>France</v>
      </c>
      <c r="B18" s="81" t="e">
        <v>#N/A</v>
      </c>
      <c r="C18" s="81" t="e">
        <v>#N/A</v>
      </c>
      <c r="D18" s="134" t="str">
        <v>Senegal</v>
      </c>
      <c r="E18" s="132" t="str">
        <v>Norway</v>
      </c>
      <c r="F18" s="81" t="e">
        <v>#N/A</v>
      </c>
      <c r="G18" s="81" t="e">
        <v>#N/A</v>
      </c>
      <c r="H18" s="134" t="str">
        <v>Senegal</v>
      </c>
      <c r="I18" s="132" t="str">
        <v>Cape Verde</v>
      </c>
      <c r="J18" s="81" t="e">
        <v>#N/A</v>
      </c>
      <c r="K18" s="81" t="e">
        <v>#N/A</v>
      </c>
      <c r="L18" s="134" t="str">
        <v>Saudi Arabia</v>
      </c>
    </row>
    <row r="19" spans="1:16" x14ac:dyDescent="0.2">
      <c r="A19" s="132" t="str">
        <v>Iraq</v>
      </c>
      <c r="B19" s="81" t="e">
        <v>#N/A</v>
      </c>
      <c r="C19" s="81" t="e">
        <v>#N/A</v>
      </c>
      <c r="D19" s="134" t="str">
        <v>Norway</v>
      </c>
      <c r="E19" s="132" t="str">
        <v>France</v>
      </c>
      <c r="F19" s="81" t="e">
        <v>#N/A</v>
      </c>
      <c r="G19" s="81" t="e">
        <v>#N/A</v>
      </c>
      <c r="H19" s="134" t="str">
        <v>Iraq</v>
      </c>
      <c r="I19" s="132" t="str">
        <v>Uruguay</v>
      </c>
      <c r="J19" s="81" t="e">
        <v>#N/A</v>
      </c>
      <c r="K19" s="81" t="e">
        <v>#N/A</v>
      </c>
      <c r="L19" s="134" t="str">
        <v>Spain</v>
      </c>
    </row>
    <row r="20" spans="1:16" x14ac:dyDescent="0.2">
      <c r="A20" s="132" t="str">
        <v>Argentina</v>
      </c>
      <c r="B20" s="81" t="e">
        <v>#N/A</v>
      </c>
      <c r="C20" s="81" t="e">
        <v>#N/A</v>
      </c>
      <c r="D20" s="134" t="str">
        <v>Algeria</v>
      </c>
      <c r="E20" s="132" t="str">
        <v>Argentina</v>
      </c>
      <c r="F20" s="81" t="e">
        <v>#N/A</v>
      </c>
      <c r="G20" s="81" t="e">
        <v>#N/A</v>
      </c>
      <c r="H20" s="134" t="str">
        <v>Austria</v>
      </c>
      <c r="I20" s="132" t="str">
        <v>Panama</v>
      </c>
      <c r="J20" s="81" t="e">
        <v>#N/A</v>
      </c>
      <c r="K20" s="81" t="e">
        <v>#N/A</v>
      </c>
      <c r="L20" s="134" t="str">
        <v>England</v>
      </c>
    </row>
    <row r="21" spans="1:16" x14ac:dyDescent="0.2">
      <c r="A21" s="132" t="str">
        <v>Austria</v>
      </c>
      <c r="B21" s="81" t="e">
        <v>#N/A</v>
      </c>
      <c r="C21" s="81" t="e">
        <v>#N/A</v>
      </c>
      <c r="D21" s="134" t="str">
        <v>Jordan</v>
      </c>
      <c r="E21" s="132" t="str">
        <v>Jordan</v>
      </c>
      <c r="F21" s="81" t="e">
        <v>#N/A</v>
      </c>
      <c r="G21" s="81" t="e">
        <v>#N/A</v>
      </c>
      <c r="H21" s="134" t="str">
        <v>Algeria</v>
      </c>
      <c r="I21" s="132" t="str">
        <v>Croatia</v>
      </c>
      <c r="J21" s="81" t="e">
        <v>#N/A</v>
      </c>
      <c r="K21" s="81" t="e">
        <v>#N/A</v>
      </c>
      <c r="L21" s="134" t="str">
        <v>Ghana</v>
      </c>
    </row>
    <row r="22" spans="1:16" x14ac:dyDescent="0.2">
      <c r="A22" s="132" t="str">
        <v>Ghana</v>
      </c>
      <c r="B22" s="81" t="e">
        <v>#N/A</v>
      </c>
      <c r="C22" s="81" t="e">
        <v>#N/A</v>
      </c>
      <c r="D22" s="134" t="str">
        <v>Panama</v>
      </c>
      <c r="E22" s="132" t="str">
        <v>England</v>
      </c>
      <c r="F22" s="81" t="e">
        <v>#N/A</v>
      </c>
      <c r="G22" s="81" t="e">
        <v>#N/A</v>
      </c>
      <c r="H22" s="134" t="str">
        <v>Ghana</v>
      </c>
      <c r="I22" s="132" t="str">
        <v>Algeria</v>
      </c>
      <c r="J22" s="81" t="e">
        <v>#N/A</v>
      </c>
      <c r="K22" s="81" t="e">
        <v>#N/A</v>
      </c>
      <c r="L22" s="134" t="str">
        <v>Austria</v>
      </c>
    </row>
    <row r="23" spans="1:16" x14ac:dyDescent="0.2">
      <c r="A23" s="132" t="str">
        <v>England</v>
      </c>
      <c r="B23" s="81" t="e">
        <v>#N/A</v>
      </c>
      <c r="C23" s="81" t="e">
        <v>#N/A</v>
      </c>
      <c r="D23" s="134" t="str">
        <v>Croatia</v>
      </c>
      <c r="E23" s="132" t="str">
        <v>Panama</v>
      </c>
      <c r="F23" s="81" t="e">
        <v>#N/A</v>
      </c>
      <c r="G23" s="81" t="e">
        <v>#N/A</v>
      </c>
      <c r="H23" s="134" t="str">
        <v>Croatia</v>
      </c>
      <c r="I23" s="132" t="str">
        <v>Jordan</v>
      </c>
      <c r="J23" s="81" t="e">
        <v>#N/A</v>
      </c>
      <c r="K23" s="81" t="e">
        <v>#N/A</v>
      </c>
      <c r="L23" s="134" t="str">
        <v>Argentina</v>
      </c>
    </row>
    <row r="24" spans="1:16" x14ac:dyDescent="0.2">
      <c r="A24" s="132" t="str">
        <v>Portugal</v>
      </c>
      <c r="B24" s="81" t="e">
        <v>#N/A</v>
      </c>
      <c r="C24" s="81" t="e">
        <v>#N/A</v>
      </c>
      <c r="D24" s="134" t="str">
        <v>DR Congo</v>
      </c>
      <c r="E24" s="132" t="str">
        <v>Portugal</v>
      </c>
      <c r="F24" s="81" t="e">
        <v>#N/A</v>
      </c>
      <c r="G24" s="81" t="e">
        <v>#N/A</v>
      </c>
      <c r="H24" s="134" t="str">
        <v>Uzbekistan</v>
      </c>
      <c r="I24" s="132" t="str">
        <v>Colombia</v>
      </c>
      <c r="J24" s="81" t="e">
        <v>#N/A</v>
      </c>
      <c r="K24" s="81" t="e">
        <v>#N/A</v>
      </c>
      <c r="L24" s="134" t="str">
        <v>Portugal</v>
      </c>
    </row>
    <row r="25" spans="1:16" x14ac:dyDescent="0.2">
      <c r="A25" s="135" t="str">
        <v>Uzbekistan</v>
      </c>
      <c r="B25" s="153" t="e">
        <v>#N/A</v>
      </c>
      <c r="C25" s="153" t="e">
        <v>#N/A</v>
      </c>
      <c r="D25" s="136" t="str">
        <v>Colombia</v>
      </c>
      <c r="E25" s="135" t="str">
        <v>Colombia</v>
      </c>
      <c r="F25" s="153" t="e">
        <v>#N/A</v>
      </c>
      <c r="G25" s="153" t="e">
        <v>#N/A</v>
      </c>
      <c r="H25" s="136" t="str">
        <v>DR Congo</v>
      </c>
      <c r="I25" s="135" t="str">
        <v>DR Congo</v>
      </c>
      <c r="J25" s="153" t="e">
        <v>#N/A</v>
      </c>
      <c r="K25" s="153" t="e">
        <v>#N/A</v>
      </c>
      <c r="L25" s="136" t="str">
        <v>Uzbekistan</v>
      </c>
    </row>
  </sheetData>
  <sheetProtection selectLockedCells="1"/>
  <mergeCells count="8">
    <mergeCell ref="Y1:AB1"/>
    <mergeCell ref="AC1:AF1"/>
    <mergeCell ref="A1:D1"/>
    <mergeCell ref="E1:H1"/>
    <mergeCell ref="I1:L1"/>
    <mergeCell ref="M1:P1"/>
    <mergeCell ref="Q1:T1"/>
    <mergeCell ref="U1:X1"/>
  </mergeCells>
  <phoneticPr fontId="25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opLeftCell="A17" zoomScale="112" zoomScaleNormal="100" workbookViewId="0">
      <selection activeCell="CO37" sqref="CO37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78" t="str" cm="1">
        <f t="array" ref="A1">INDEX(T,2,lang)</f>
        <v>2026 World Cup Final Tournament Schedule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79" t="str">
        <f>"Language: " &amp; Settings!C4</f>
        <v>Language: English</v>
      </c>
      <c r="P3" s="179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80" t="str" cm="1">
        <f t="array" ref="A5">INDEX(T,3,lang)</f>
        <v>Group Stage</v>
      </c>
      <c r="B5" s="181"/>
      <c r="C5" s="181"/>
      <c r="D5" s="181"/>
      <c r="E5" s="181"/>
      <c r="F5" s="181"/>
      <c r="G5" s="181"/>
      <c r="H5" s="182"/>
      <c r="J5" s="186" t="s">
        <v>3166</v>
      </c>
      <c r="K5" s="187"/>
      <c r="L5" s="187"/>
      <c r="M5" s="187"/>
      <c r="N5" s="187"/>
      <c r="O5" s="187"/>
      <c r="P5" s="188"/>
    </row>
    <row r="6" spans="1:95" ht="15" customHeight="1" x14ac:dyDescent="0.2">
      <c r="A6" s="183"/>
      <c r="B6" s="184"/>
      <c r="C6" s="184"/>
      <c r="D6" s="184"/>
      <c r="E6" s="184"/>
      <c r="F6" s="184"/>
      <c r="G6" s="184"/>
      <c r="H6" s="185"/>
      <c r="J6" s="189"/>
      <c r="K6" s="190"/>
      <c r="L6" s="190"/>
      <c r="M6" s="190"/>
      <c r="N6" s="190"/>
      <c r="O6" s="190"/>
      <c r="P6" s="191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72" t="s">
        <v>3179</v>
      </c>
      <c r="BL6" s="173"/>
      <c r="BM6" s="173"/>
      <c r="BN6" s="173"/>
      <c r="BO6" s="174"/>
      <c r="BR6" s="172" t="str" cm="1">
        <f t="array" ref="BR6">INDEX(T,4,lang)</f>
        <v>Round of 16</v>
      </c>
      <c r="BS6" s="173"/>
      <c r="BT6" s="173"/>
      <c r="BU6" s="173"/>
      <c r="BV6" s="174"/>
      <c r="BY6" s="172" t="str" cm="1">
        <f t="array" ref="BY6">INDEX(T,5,lang)</f>
        <v>Quarterfinals</v>
      </c>
      <c r="BZ6" s="173"/>
      <c r="CA6" s="173"/>
      <c r="CB6" s="173"/>
      <c r="CC6" s="174"/>
      <c r="CF6" s="172" t="str" cm="1">
        <f t="array" ref="CF6">INDEX(T,6,lang)</f>
        <v>Semi-Finals</v>
      </c>
      <c r="CG6" s="173"/>
      <c r="CH6" s="173"/>
      <c r="CI6" s="173"/>
      <c r="CJ6" s="174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/>
      <c r="G7" s="15"/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/>
      </c>
      <c r="T7" s="127" t="str">
        <f t="shared" ref="T7:T46" si="2">IF(S7="","",IF(F7&lt;G7,H7&amp;"_win",IF(F7&gt;G7,H7&amp;"_lose",H7&amp;"_draw")))</f>
        <v/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 t="str">
        <f t="shared" ref="AB7:AB46" si="6">IF(OR(F7="",G7=""),"",IF(F7&gt;G7,1,IF(F7&lt;G7,-1,0)))</f>
        <v/>
      </c>
      <c r="AY7" s="126"/>
      <c r="BK7" s="175"/>
      <c r="BL7" s="176"/>
      <c r="BM7" s="176"/>
      <c r="BN7" s="176"/>
      <c r="BO7" s="177"/>
      <c r="BR7" s="175"/>
      <c r="BS7" s="176"/>
      <c r="BT7" s="176"/>
      <c r="BU7" s="176"/>
      <c r="BV7" s="177"/>
      <c r="BY7" s="175"/>
      <c r="BZ7" s="176"/>
      <c r="CA7" s="176"/>
      <c r="CB7" s="176"/>
      <c r="CC7" s="177"/>
      <c r="CF7" s="175"/>
      <c r="CG7" s="176"/>
      <c r="CH7" s="176"/>
      <c r="CI7" s="176"/>
      <c r="CJ7" s="177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/>
      <c r="G8" s="20"/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/>
      </c>
      <c r="T8" s="127" t="str">
        <f t="shared" si="2"/>
        <v/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 t="str">
        <f t="shared" si="6"/>
        <v/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0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0</v>
      </c>
      <c r="AJ8" s="123">
        <f>SUMIF($E$7:$E$78,$AE8,$G$7:$G$78) + SUMIF($H$7:$H$78,$AE8,$F$7:$F$78)</f>
        <v>0</v>
      </c>
      <c r="AL8" s="123">
        <f>AI8-AJ8</f>
        <v>0</v>
      </c>
      <c r="AM8" s="123">
        <f>AL8-AL12</f>
        <v>0</v>
      </c>
      <c r="AN8" s="123">
        <f>AF8*3+AG8</f>
        <v>0</v>
      </c>
      <c r="AO8" s="123">
        <f>AN8/AN12*10+BA8</f>
        <v>0</v>
      </c>
      <c r="AP8" s="123">
        <f>AO8*10000000+BI8*100+AM8/AM12*10+AI8/AI12*1++IF(AQ8=0,ROW(),AQ8)/2000000</f>
        <v>8.4051500000000001E-4</v>
      </c>
      <c r="AQ8" s="126">
        <f>VLOOKUP(AE8,db_fifarank,2,FALSE)</f>
        <v>1681.03</v>
      </c>
      <c r="AR8" s="125">
        <f>AP8/AP12</f>
        <v>8.3980912783092126E-4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/>
      <c r="G9" s="20"/>
      <c r="H9" s="80" t="str">
        <f>AE15</f>
        <v>Bosnia and Herzegovina</v>
      </c>
      <c r="J9" s="30" t="str">
        <f>VLOOKUP(1,AD8:AN11,2,FALSE)</f>
        <v>Mexico</v>
      </c>
      <c r="K9" s="31">
        <f>L9+M9+N9</f>
        <v>0</v>
      </c>
      <c r="L9" s="31">
        <f>VLOOKUP(1,AD8:AN11,3,FALSE)</f>
        <v>0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0 - 0</v>
      </c>
      <c r="P9" s="32">
        <f>L9*3+M9</f>
        <v>0</v>
      </c>
      <c r="R9" s="123">
        <f>DATE(2026,6,12)+TIME(8,0,0)+gmt_delta</f>
        <v>46185.791666666672</v>
      </c>
      <c r="S9" s="127" t="str">
        <f t="shared" si="1"/>
        <v/>
      </c>
      <c r="T9" s="127" t="str">
        <f t="shared" si="2"/>
        <v/>
      </c>
      <c r="U9" s="123">
        <f t="shared" si="8"/>
        <v>0</v>
      </c>
      <c r="V9" s="123">
        <f t="shared" si="3"/>
        <v>0</v>
      </c>
      <c r="W9" s="123">
        <f t="shared" si="4"/>
        <v>0</v>
      </c>
      <c r="X9" s="123">
        <f t="shared" si="9"/>
        <v>0</v>
      </c>
      <c r="Y9" s="123">
        <f t="shared" si="10"/>
        <v>0</v>
      </c>
      <c r="Z9" s="123">
        <f t="shared" si="11"/>
        <v>0</v>
      </c>
      <c r="AA9" s="123">
        <f t="shared" si="5"/>
        <v>0</v>
      </c>
      <c r="AB9" s="123" t="str">
        <f t="shared" si="6"/>
        <v/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0</v>
      </c>
      <c r="AH9" s="123">
        <f>COUNTIF($S$7:$T$78,"=" &amp; AE9 &amp; "_lose")</f>
        <v>0</v>
      </c>
      <c r="AI9" s="123">
        <f>SUMIF($E$7:$E$78,$AE9,$F$7:$F$78) + SUMIF($H$7:$H$78,$AE9,$G$7:$G$78)</f>
        <v>0</v>
      </c>
      <c r="AJ9" s="123">
        <f>SUMIF($E$7:$E$78,$AE9,$G$7:$G$78) + SUMIF($H$7:$H$78,$AE9,$F$7:$F$78)</f>
        <v>0</v>
      </c>
      <c r="AL9" s="123">
        <f>AI9-AJ9</f>
        <v>0</v>
      </c>
      <c r="AM9" s="123">
        <f>AL9-AL12</f>
        <v>0</v>
      </c>
      <c r="AN9" s="123">
        <f>AF9*3+AG9</f>
        <v>0</v>
      </c>
      <c r="AO9" s="123">
        <f>AN9/AN12*10+BA9</f>
        <v>0</v>
      </c>
      <c r="AP9" s="123">
        <f>AO9*10000000+BI9*100+AM9/AM12*10+AI9/AI12*1++IF(AQ9=0,ROW(),AQ9)/2000000</f>
        <v>7.1486499999999997E-4</v>
      </c>
      <c r="AQ9" s="126">
        <f>VLOOKUP(AE9,db_fifarank,2,FALSE)</f>
        <v>1429.73</v>
      </c>
      <c r="AR9" s="125">
        <f>AP9/AP12</f>
        <v>7.1426464984783314E-4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/>
      <c r="G10" s="20"/>
      <c r="H10" s="80" t="str">
        <f>AE27</f>
        <v>Paraguay</v>
      </c>
      <c r="J10" s="33" t="str">
        <f>VLOOKUP(2,AD8:AN11,2,FALSE)</f>
        <v>Korea Republic</v>
      </c>
      <c r="K10" s="23">
        <f>L10+M10+N10</f>
        <v>0</v>
      </c>
      <c r="L10" s="23">
        <f>VLOOKUP(2,AD8:AN11,3,FALSE)</f>
        <v>0</v>
      </c>
      <c r="M10" s="23">
        <f>VLOOKUP(2,AD8:AN11,4,FALSE)</f>
        <v>0</v>
      </c>
      <c r="N10" s="23">
        <f>VLOOKUP(2,AD8:AN11,5,FALSE)</f>
        <v>0</v>
      </c>
      <c r="O10" s="23" t="str">
        <f>VLOOKUP(2,AD8:AN11,6,FALSE) &amp; " - " &amp; VLOOKUP(2,AD8:AN11,7,FALSE)</f>
        <v>0 - 0</v>
      </c>
      <c r="P10" s="34">
        <f>L10*3+M10</f>
        <v>0</v>
      </c>
      <c r="R10" s="123">
        <f>DATE(2026,6,12)+TIME(14,0,0)+gmt_delta</f>
        <v>46186.041666666672</v>
      </c>
      <c r="S10" s="127" t="str">
        <f t="shared" si="1"/>
        <v/>
      </c>
      <c r="T10" s="127" t="str">
        <f t="shared" si="2"/>
        <v/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 t="str">
        <f t="shared" si="6"/>
        <v/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0</v>
      </c>
      <c r="AG10" s="123">
        <f>COUNTIF($S$7:$T$78,"=" &amp; AE10 &amp; "_draw")</f>
        <v>0</v>
      </c>
      <c r="AH10" s="123">
        <f>COUNTIF($S$7:$T$78,"=" &amp; AE10 &amp; "_lose")</f>
        <v>0</v>
      </c>
      <c r="AI10" s="123">
        <f>SUMIF($E$7:$E$78,$AE10,$F$7:$F$78) + SUMIF($H$7:$H$78,$AE10,$G$7:$G$78)</f>
        <v>0</v>
      </c>
      <c r="AJ10" s="123">
        <f>SUMIF($E$7:$E$78,$AE10,$G$7:$G$78) + SUMIF($H$7:$H$78,$AE10,$F$7:$F$78)</f>
        <v>0</v>
      </c>
      <c r="AL10" s="123">
        <f>AI10-AJ10</f>
        <v>0</v>
      </c>
      <c r="AM10" s="123">
        <f>AL10-AL12</f>
        <v>0</v>
      </c>
      <c r="AN10" s="123">
        <f>AF10*3+AG10</f>
        <v>0</v>
      </c>
      <c r="AO10" s="123">
        <f>AN10/AN12*10+BA10</f>
        <v>0</v>
      </c>
      <c r="AP10" s="123">
        <f>AO10*10000000+BI10*100+AM10/AM12*10+AI10/AI12*1++IF(AQ10=0,ROW(),AQ10)/2000000</f>
        <v>7.9432999999999999E-4</v>
      </c>
      <c r="AQ10" s="126">
        <f>VLOOKUP(AE10,db_fifarank,2,FALSE)</f>
        <v>1588.66</v>
      </c>
      <c r="AR10" s="125">
        <f>AP10/AP12</f>
        <v>7.9366291441549015E-4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69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/>
      <c r="G11" s="20"/>
      <c r="H11" s="80" t="str">
        <f>AE23</f>
        <v>Scotland</v>
      </c>
      <c r="J11" s="33" t="str">
        <f>VLOOKUP(3,AD8:AN11,2,FALSE)</f>
        <v>Czech Republic</v>
      </c>
      <c r="K11" s="23">
        <f>L11+M11+N11</f>
        <v>0</v>
      </c>
      <c r="L11" s="23">
        <f>VLOOKUP(3,AD8:AN11,3,FALSE)</f>
        <v>0</v>
      </c>
      <c r="M11" s="23">
        <f>VLOOKUP(3,AD8:AN11,4,FALSE)</f>
        <v>0</v>
      </c>
      <c r="N11" s="23">
        <f>VLOOKUP(3,AD8:AN11,5,FALSE)</f>
        <v>0</v>
      </c>
      <c r="O11" s="23" t="str">
        <f>VLOOKUP(3,AD8:AN11,6,FALSE) &amp; " - " &amp; VLOOKUP(3,AD8:AN11,7,FALSE)</f>
        <v>0 - 0</v>
      </c>
      <c r="P11" s="34">
        <f>L11*3+M11</f>
        <v>0</v>
      </c>
      <c r="R11" s="123">
        <f>DATE(2026,6,13)+TIME(14,0,0)+gmt_delta</f>
        <v>46187.041666666672</v>
      </c>
      <c r="S11" s="127" t="str">
        <f t="shared" si="1"/>
        <v/>
      </c>
      <c r="T11" s="127" t="str">
        <f t="shared" si="2"/>
        <v/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 t="str">
        <f t="shared" si="6"/>
        <v/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0</v>
      </c>
      <c r="AH11" s="123">
        <f>COUNTIF($S$7:$T$78,"=" &amp; AE11 &amp; "_lose")</f>
        <v>0</v>
      </c>
      <c r="AI11" s="123">
        <f>SUMIF($E$7:$E$78,$AE11,$F$7:$F$78) + SUMIF($H$7:$H$78,$AE11,$G$7:$G$78)</f>
        <v>0</v>
      </c>
      <c r="AJ11" s="123">
        <f>SUMIF($E$7:$E$78,$AE11,$G$7:$G$78) + SUMIF($H$7:$H$78,$AE11,$F$7:$F$78)</f>
        <v>0</v>
      </c>
      <c r="AL11" s="123">
        <f>AI11-AJ11</f>
        <v>0</v>
      </c>
      <c r="AM11" s="123">
        <f>AL11-AL12</f>
        <v>0</v>
      </c>
      <c r="AN11" s="123">
        <f>AF11*3+AG11</f>
        <v>0</v>
      </c>
      <c r="AO11" s="123">
        <f>AN11/AN12*10+BA11</f>
        <v>0</v>
      </c>
      <c r="AP11" s="123">
        <f>AO11*10000000+BI11*100+AM11/AM12*10+AI11/AI12*1++IF(AQ11=0,ROW(),AQ11)/2000000</f>
        <v>7.5069000000000004E-4</v>
      </c>
      <c r="AQ11" s="126">
        <f>VLOOKUP(AE11,db_fifarank,2,FALSE)</f>
        <v>1501.38</v>
      </c>
      <c r="AR11" s="125">
        <f>AP11/AP12</f>
        <v>7.5005956368582867E-4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70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/>
      <c r="G12" s="20"/>
      <c r="H12" s="80" t="str">
        <f>AE29</f>
        <v>Turkey</v>
      </c>
      <c r="J12" s="35" t="str">
        <f>VLOOKUP(4,AD8:AN11,2,FALSE)</f>
        <v>South Africa</v>
      </c>
      <c r="K12" s="36">
        <f>L12+M12+N12</f>
        <v>0</v>
      </c>
      <c r="L12" s="36">
        <f>VLOOKUP(4,AD8:AN11,3,FALSE)</f>
        <v>0</v>
      </c>
      <c r="M12" s="36">
        <f>VLOOKUP(4,AD8:AN11,4,FALSE)</f>
        <v>0</v>
      </c>
      <c r="N12" s="36">
        <f>VLOOKUP(4,AD8:AN11,5,FALSE)</f>
        <v>0</v>
      </c>
      <c r="O12" s="36" t="str">
        <f>VLOOKUP(4,AD8:AN11,6,FALSE) &amp; " - " &amp; VLOOKUP(4,AD8:AN11,7,FALSE)</f>
        <v>0 - 0</v>
      </c>
      <c r="P12" s="37">
        <f>L12*3+M12</f>
        <v>0</v>
      </c>
      <c r="R12" s="123">
        <f>DATE(2026,6,13)+TIME(17,0,0)+gmt_delta</f>
        <v>46187.166666666672</v>
      </c>
      <c r="S12" s="127" t="str">
        <f t="shared" si="1"/>
        <v/>
      </c>
      <c r="T12" s="127" t="str">
        <f t="shared" si="2"/>
        <v/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 t="str">
        <f t="shared" si="6"/>
        <v/>
      </c>
      <c r="AF12" s="123">
        <f t="shared" ref="AF12:AH12" si="12">MAX(AF8:AF11)-MIN(AF8:AF11)+1</f>
        <v>1</v>
      </c>
      <c r="AG12" s="123">
        <f t="shared" si="12"/>
        <v>1</v>
      </c>
      <c r="AH12" s="123">
        <f t="shared" si="12"/>
        <v>1</v>
      </c>
      <c r="AI12" s="123">
        <f>MAX(AI8:AI11)+1</f>
        <v>1</v>
      </c>
      <c r="AL12" s="123">
        <f>MIN(AL8:AL11)</f>
        <v>0</v>
      </c>
      <c r="AM12" s="123">
        <f>MAX(AM8:AM11)+1</f>
        <v>1</v>
      </c>
      <c r="AN12" s="123">
        <f>MAX(AN8:AN11)+1</f>
        <v>1</v>
      </c>
      <c r="AO12" s="123">
        <f>MAX(AO8:AO11)+1</f>
        <v>1</v>
      </c>
      <c r="AP12" s="123">
        <f>MAX(AP8:AP11)+1</f>
        <v>1.0008405149999999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69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/>
      <c r="G13" s="20"/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/>
      </c>
      <c r="T13" s="127" t="str">
        <f t="shared" si="2"/>
        <v/>
      </c>
      <c r="U13" s="123">
        <f t="shared" si="8"/>
        <v>0</v>
      </c>
      <c r="V13" s="123">
        <f t="shared" si="3"/>
        <v>0</v>
      </c>
      <c r="W13" s="123">
        <f t="shared" si="4"/>
        <v>0</v>
      </c>
      <c r="X13" s="123">
        <f t="shared" si="9"/>
        <v>0</v>
      </c>
      <c r="Y13" s="123">
        <f t="shared" si="10"/>
        <v>0</v>
      </c>
      <c r="Z13" s="123">
        <f t="shared" si="11"/>
        <v>0</v>
      </c>
      <c r="AA13" s="123">
        <f t="shared" si="5"/>
        <v>0</v>
      </c>
      <c r="AB13" s="123" t="str">
        <f t="shared" si="6"/>
        <v/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70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/>
      <c r="G14" s="20"/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/>
      </c>
      <c r="T14" s="127" t="str">
        <f t="shared" si="2"/>
        <v/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 t="str">
        <f t="shared" si="6"/>
        <v/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0</v>
      </c>
      <c r="AG14" s="123">
        <f>COUNTIF($S$7:$T$78,"=" &amp; AE14 &amp; "_draw")</f>
        <v>0</v>
      </c>
      <c r="AH14" s="123">
        <f>COUNTIF($S$7:$T$78,"=" &amp; AE14 &amp; "_lose")</f>
        <v>0</v>
      </c>
      <c r="AI14" s="123">
        <f>SUMIF($E$7:$E$78,$AE14,$F$7:$F$78) + SUMIF($H$7:$H$78,$AE14,$G$7:$G$78)</f>
        <v>0</v>
      </c>
      <c r="AJ14" s="123">
        <f>SUMIF($E$7:$E$78,$AE14,$G$7:$G$78) + SUMIF($H$7:$H$78,$AE14,$F$7:$F$78)</f>
        <v>0</v>
      </c>
      <c r="AL14" s="123">
        <f>AI14-AJ14</f>
        <v>0</v>
      </c>
      <c r="AM14" s="123">
        <f>AL14-AL18</f>
        <v>0</v>
      </c>
      <c r="AN14" s="123">
        <f>AF14*3+AG14</f>
        <v>0</v>
      </c>
      <c r="AO14" s="123">
        <f>AN14/AN18*10+BA14</f>
        <v>0</v>
      </c>
      <c r="AP14" s="123">
        <f>AO14*10000000+BI14*100+AM14/AM18*10+AI14/AI18*1++IF(AQ14=0,ROW(),AQ14)/2000000</f>
        <v>7.7824000000000003E-4</v>
      </c>
      <c r="AQ14" s="126">
        <f>VLOOKUP(AE14,db_fifarank,2,FALSE)</f>
        <v>1556.48</v>
      </c>
      <c r="AR14" s="125">
        <f>AP14/AP18</f>
        <v>7.7759871434028365E-4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0</v>
      </c>
      <c r="AV14" s="126" cm="1">
        <f t="array" ref="AV14">SUMPRODUCT(($E$7:$E$78=AE14)*($U$7:$U$78)*($F$7:$F$78))+SUMPRODUCT(($H$7:$H$78=AE14)*($U$7:$U$78)*($G$7:$G$78))</f>
        <v>0</v>
      </c>
      <c r="AW14" s="126" cm="1">
        <f t="array" ref="AW14">SUMPRODUCT(($E$7:$E$78=AE14)*($U$7:$U$78)*($G$7:$G$78))+SUMPRODUCT(($H$7:$H$78=AE14)*($U$7:$U$78)*($F$7:$F$78))</f>
        <v>0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0</v>
      </c>
      <c r="BA14" s="126">
        <f>AZ14/AZ18</f>
        <v>0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0</v>
      </c>
      <c r="BD14" s="126" cm="1">
        <f t="array" ref="BD14">SUMPRODUCT(($E$7:$E$78=AE14)*($X$7:$X$78)*($F$7:$F$78))+SUMPRODUCT(($H$7:$H$78=AE14)*($X$7:$X$78)*($G$7:$G$78))</f>
        <v>0</v>
      </c>
      <c r="BE14" s="126" cm="1">
        <f t="array" ref="BE14">SUMPRODUCT(($E$7:$E$78=AE14)*($X$7:$X$78)*($G$7:$G$78))+SUMPRODUCT(($H$7:$H$78=AE14)*($X$7:$X$78)*($F$7:$F$78))</f>
        <v>0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0</v>
      </c>
      <c r="BI14" s="126">
        <f>BH14/BH18</f>
        <v>0</v>
      </c>
      <c r="BK14" s="169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/>
      <c r="G15" s="20"/>
      <c r="H15" s="80" t="str">
        <f>AE35</f>
        <v>Ecuador</v>
      </c>
      <c r="J15" s="30" t="str">
        <f>VLOOKUP(1,AD14:AN17,2,FALSE)</f>
        <v>Switzerland</v>
      </c>
      <c r="K15" s="31">
        <f>L15+M15+N15</f>
        <v>0</v>
      </c>
      <c r="L15" s="31">
        <f>VLOOKUP(1,AD14:AN17,3,FALSE)</f>
        <v>0</v>
      </c>
      <c r="M15" s="31">
        <f>VLOOKUP(1,AD14:AN17,4,FALSE)</f>
        <v>0</v>
      </c>
      <c r="N15" s="31">
        <f>VLOOKUP(1,AD14:AN17,5,FALSE)</f>
        <v>0</v>
      </c>
      <c r="O15" s="31" t="str">
        <f>VLOOKUP(1,AD14:AN17,6,FALSE) &amp; " - " &amp; VLOOKUP(1,AD14:AN17,7,FALSE)</f>
        <v>0 - 0</v>
      </c>
      <c r="P15" s="32">
        <f>L15*3+M15</f>
        <v>0</v>
      </c>
      <c r="R15" s="123">
        <f>DATE(2026,6,14)+TIME(12,0,0)+gmt_delta</f>
        <v>46187.958333333336</v>
      </c>
      <c r="S15" s="127" t="str">
        <f t="shared" si="1"/>
        <v/>
      </c>
      <c r="T15" s="127" t="str">
        <f t="shared" si="2"/>
        <v/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 t="str">
        <f t="shared" si="6"/>
        <v/>
      </c>
      <c r="AD15" s="123">
        <f>COUNTIF(AR14:AR17,CONCATENATE("&gt;=",AR15))</f>
        <v>4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0</v>
      </c>
      <c r="AH15" s="123">
        <f>COUNTIF($S$7:$T$78,"=" &amp; AE15 &amp; "_lose")</f>
        <v>0</v>
      </c>
      <c r="AI15" s="123">
        <f>SUMIF($E$7:$E$78,$AE15,$F$7:$F$78) + SUMIF($H$7:$H$78,$AE15,$G$7:$G$78)</f>
        <v>0</v>
      </c>
      <c r="AJ15" s="123">
        <f>SUMIF($E$7:$E$78,$AE15,$G$7:$G$78) + SUMIF($H$7:$H$78,$AE15,$F$7:$F$78)</f>
        <v>0</v>
      </c>
      <c r="AL15" s="123">
        <f>AI15-AJ15</f>
        <v>0</v>
      </c>
      <c r="AM15" s="123">
        <f>AL15-AL18</f>
        <v>0</v>
      </c>
      <c r="AN15" s="123">
        <f>AF15*3+AG15</f>
        <v>0</v>
      </c>
      <c r="AO15" s="123">
        <f>AN15/AN18*10+BA15</f>
        <v>0</v>
      </c>
      <c r="AP15" s="123">
        <f>AO15*10000000+BI15*100+AM15/AM18*10+AI15/AI18*1++IF(AQ15=0,ROW(),AQ15)/2000000</f>
        <v>6.9291999999999997E-4</v>
      </c>
      <c r="AQ15" s="126">
        <f>VLOOKUP(AE15,db_fifarank,2,FALSE)</f>
        <v>1385.84</v>
      </c>
      <c r="AR15" s="125">
        <f>AP15/AP18</f>
        <v>6.9234901976340118E-4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0</v>
      </c>
      <c r="AV15" s="126" cm="1">
        <f t="array" ref="AV15">SUMPRODUCT(($E$7:$E$78=AE15)*($U$7:$U$78)*($F$7:$F$78))+SUMPRODUCT(($H$7:$H$78=AE15)*($U$7:$U$78)*($G$7:$G$78))</f>
        <v>0</v>
      </c>
      <c r="AW15" s="126" cm="1">
        <f t="array" ref="AW15">SUMPRODUCT(($E$7:$E$78=AE15)*($U$7:$U$78)*($G$7:$G$78))+SUMPRODUCT(($H$7:$H$78=AE15)*($U$7:$U$78)*($F$7:$F$78))</f>
        <v>0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0</v>
      </c>
      <c r="BA15" s="126">
        <f>AZ15/AZ18</f>
        <v>0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0</v>
      </c>
      <c r="BD15" s="126" cm="1">
        <f t="array" ref="BD15">SUMPRODUCT(($E$7:$E$78=AE15)*($X$7:$X$78)*($F$7:$F$78))+SUMPRODUCT(($H$7:$H$78=AE15)*($X$7:$X$78)*($G$7:$G$78))</f>
        <v>0</v>
      </c>
      <c r="BE15" s="126" cm="1">
        <f t="array" ref="BE15">SUMPRODUCT(($E$7:$E$78=AE15)*($X$7:$X$78)*($G$7:$G$78))+SUMPRODUCT(($H$7:$H$78=AE15)*($X$7:$X$78)*($F$7:$F$78))</f>
        <v>0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0</v>
      </c>
      <c r="BI15" s="126">
        <f>BH15/BH18</f>
        <v>0</v>
      </c>
      <c r="BK15" s="170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/>
      <c r="G16" s="20"/>
      <c r="H16" s="80" t="str">
        <f>AE33</f>
        <v>Curaçao</v>
      </c>
      <c r="J16" s="33" t="str">
        <f>VLOOKUP(2,AD14:AN17,2,FALSE)</f>
        <v>Canada</v>
      </c>
      <c r="K16" s="23">
        <f>L16+M16+N16</f>
        <v>0</v>
      </c>
      <c r="L16" s="23">
        <f>VLOOKUP(2,AD14:AN17,3,FALSE)</f>
        <v>0</v>
      </c>
      <c r="M16" s="23">
        <f>VLOOKUP(2,AD14:AN17,4,FALSE)</f>
        <v>0</v>
      </c>
      <c r="N16" s="23">
        <f>VLOOKUP(2,AD14:AN17,5,FALSE)</f>
        <v>0</v>
      </c>
      <c r="O16" s="23" t="str">
        <f>VLOOKUP(2,AD14:AN17,6,FALSE) &amp; " - " &amp; VLOOKUP(2,AD14:AN17,7,FALSE)</f>
        <v>0 - 0</v>
      </c>
      <c r="P16" s="34">
        <f>L16*3+M16</f>
        <v>0</v>
      </c>
      <c r="R16" s="123">
        <f>DATE(2026,6,14)+TIME(6,0,0)+gmt_delta</f>
        <v>46187.708333333336</v>
      </c>
      <c r="S16" s="127" t="str">
        <f t="shared" si="1"/>
        <v/>
      </c>
      <c r="T16" s="127" t="str">
        <f t="shared" si="2"/>
        <v/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 t="str">
        <f t="shared" si="6"/>
        <v/>
      </c>
      <c r="AD16" s="123">
        <f>COUNTIF(AR14:AR17,CONCATENATE("&gt;=",AR16))</f>
        <v>3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0</v>
      </c>
      <c r="AH16" s="123">
        <f>COUNTIF($S$7:$T$78,"=" &amp; AE16 &amp; "_lose")</f>
        <v>0</v>
      </c>
      <c r="AI16" s="123">
        <f>SUMIF($E$7:$E$78,$AE16,$F$7:$F$78) + SUMIF($H$7:$H$78,$AE16,$G$7:$G$78)</f>
        <v>0</v>
      </c>
      <c r="AJ16" s="123">
        <f>SUMIF($E$7:$E$78,$AE16,$G$7:$G$78) + SUMIF($H$7:$H$78,$AE16,$F$7:$F$78)</f>
        <v>0</v>
      </c>
      <c r="AL16" s="123">
        <f>AI16-AJ16</f>
        <v>0</v>
      </c>
      <c r="AM16" s="123">
        <f>AL16-AL18</f>
        <v>0</v>
      </c>
      <c r="AN16" s="123">
        <f>AF16*3+AG16</f>
        <v>0</v>
      </c>
      <c r="AO16" s="123">
        <f>AN16/AN18*10+BA16</f>
        <v>0</v>
      </c>
      <c r="AP16" s="123">
        <f>AO16*10000000+BI16*100+AM16/AM18*10+AI16/AI18*1++IF(AQ16=0,ROW(),AQ16)/2000000</f>
        <v>7.2747999999999997E-4</v>
      </c>
      <c r="AQ16" s="126">
        <f>VLOOKUP(AE16,db_fifarank,2,FALSE)</f>
        <v>1454.96</v>
      </c>
      <c r="AR16" s="125">
        <f>AP16/AP18</f>
        <v>7.268805416173282E-4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69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/>
      <c r="G17" s="20"/>
      <c r="H17" s="80" t="str">
        <f>AE39</f>
        <v>Japan</v>
      </c>
      <c r="J17" s="33" t="str">
        <f>VLOOKUP(3,AD14:AN17,2,FALSE)</f>
        <v>Qatar</v>
      </c>
      <c r="K17" s="23">
        <f>L17+M17+N17</f>
        <v>0</v>
      </c>
      <c r="L17" s="23">
        <f>VLOOKUP(3,AD14:AN17,3,FALSE)</f>
        <v>0</v>
      </c>
      <c r="M17" s="23">
        <f>VLOOKUP(3,AD14:AN17,4,FALSE)</f>
        <v>0</v>
      </c>
      <c r="N17" s="23">
        <f>VLOOKUP(3,AD14:AN17,5,FALSE)</f>
        <v>0</v>
      </c>
      <c r="O17" s="23" t="str">
        <f>VLOOKUP(3,AD14:AN17,6,FALSE) &amp; " - " &amp; VLOOKUP(3,AD14:AN17,7,FALSE)</f>
        <v>0 - 0</v>
      </c>
      <c r="P17" s="34">
        <f>L17*3+M17</f>
        <v>0</v>
      </c>
      <c r="R17" s="123">
        <f>DATE(2026,6,14)+TIME(9,0,0)+gmt_delta</f>
        <v>46187.833333333336</v>
      </c>
      <c r="S17" s="127" t="str">
        <f t="shared" si="1"/>
        <v/>
      </c>
      <c r="T17" s="127" t="str">
        <f t="shared" si="2"/>
        <v/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 t="str">
        <f t="shared" si="6"/>
        <v/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0</v>
      </c>
      <c r="AG17" s="123">
        <f>COUNTIF($S$7:$T$78,"=" &amp; AE17 &amp; "_draw")</f>
        <v>0</v>
      </c>
      <c r="AH17" s="123">
        <f>COUNTIF($S$7:$T$78,"=" &amp; AE17 &amp; "_lose")</f>
        <v>0</v>
      </c>
      <c r="AI17" s="123">
        <f>SUMIF($E$7:$E$78,$AE17,$F$7:$F$78) + SUMIF($H$7:$H$78,$AE17,$G$7:$G$78)</f>
        <v>0</v>
      </c>
      <c r="AJ17" s="123">
        <f>SUMIF($E$7:$E$78,$AE17,$G$7:$G$78) + SUMIF($H$7:$H$78,$AE17,$F$7:$F$78)</f>
        <v>0</v>
      </c>
      <c r="AL17" s="123">
        <f>AI17-AJ17</f>
        <v>0</v>
      </c>
      <c r="AM17" s="123">
        <f>AL17-AL18</f>
        <v>0</v>
      </c>
      <c r="AN17" s="123">
        <f>AF17*3+AG17</f>
        <v>0</v>
      </c>
      <c r="AO17" s="123">
        <f>AN17/AN18*10+BA17</f>
        <v>0</v>
      </c>
      <c r="AP17" s="123">
        <f>AO17*10000000+BI17*100+AM17/AM18*10+AI17/AI18*1++IF(AQ17=0,ROW(),AQ17)/2000000</f>
        <v>8.2470000000000004E-4</v>
      </c>
      <c r="AQ17" s="126">
        <f>VLOOKUP(AE17,db_fifarank,2,FALSE)</f>
        <v>1649.4</v>
      </c>
      <c r="AR17" s="125">
        <f>AP17/AP18</f>
        <v>8.2402043035108958E-4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70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/>
      <c r="G18" s="20"/>
      <c r="H18" s="80" t="str">
        <f>AE41</f>
        <v>Tunisia</v>
      </c>
      <c r="J18" s="35" t="str">
        <f>VLOOKUP(4,AD14:AN17,2,FALSE)</f>
        <v>Bosnia and Herzegovina</v>
      </c>
      <c r="K18" s="36">
        <f>L18+M18+N18</f>
        <v>0</v>
      </c>
      <c r="L18" s="36">
        <f>VLOOKUP(4,AD14:AN17,3,FALSE)</f>
        <v>0</v>
      </c>
      <c r="M18" s="36">
        <f>VLOOKUP(4,AD14:AN17,4,FALSE)</f>
        <v>0</v>
      </c>
      <c r="N18" s="36">
        <f>VLOOKUP(4,AD14:AN17,5,FALSE)</f>
        <v>0</v>
      </c>
      <c r="O18" s="36" t="str">
        <f>VLOOKUP(4,AD14:AN17,6,FALSE) &amp; " - " &amp; VLOOKUP(4,AD14:AN17,7,FALSE)</f>
        <v>0 - 0</v>
      </c>
      <c r="P18" s="37">
        <f>L18*3+M18</f>
        <v>0</v>
      </c>
      <c r="R18" s="123">
        <f>DATE(2026,6,14)+TIME(15,0,0)+gmt_delta</f>
        <v>46188.083333333336</v>
      </c>
      <c r="S18" s="127" t="str">
        <f t="shared" si="1"/>
        <v/>
      </c>
      <c r="T18" s="127" t="str">
        <f t="shared" si="2"/>
        <v/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 t="str">
        <f t="shared" si="6"/>
        <v/>
      </c>
      <c r="AF18" s="123">
        <f t="shared" ref="AF18:AH18" si="13">MAX(AF14:AF17)-MIN(AF14:AF17)+1</f>
        <v>1</v>
      </c>
      <c r="AG18" s="123">
        <f t="shared" si="13"/>
        <v>1</v>
      </c>
      <c r="AH18" s="123">
        <f t="shared" si="13"/>
        <v>1</v>
      </c>
      <c r="AI18" s="123">
        <f>MAX(AI14:AI17)+1</f>
        <v>1</v>
      </c>
      <c r="AL18" s="123">
        <f>MIN(AL14:AL17)</f>
        <v>0</v>
      </c>
      <c r="AM18" s="123">
        <f>MAX(AM14:AM17)+1</f>
        <v>1</v>
      </c>
      <c r="AN18" s="123">
        <f>MAX(AN14:AN17)+1</f>
        <v>1</v>
      </c>
      <c r="AO18" s="123">
        <f>MAX(AO14:AO17)+1</f>
        <v>1</v>
      </c>
      <c r="AP18" s="123">
        <f>MAX(AP14:AP17)+1</f>
        <v>1.0008246999999999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</v>
      </c>
      <c r="BK18" s="169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/>
      <c r="G19" s="20"/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/>
      </c>
      <c r="T19" s="127" t="str">
        <f t="shared" si="2"/>
        <v/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 t="str">
        <f t="shared" si="6"/>
        <v/>
      </c>
      <c r="BK19" s="170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/>
      <c r="G20" s="20"/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/>
      </c>
      <c r="T20" s="127" t="str">
        <f t="shared" si="2"/>
        <v/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 t="str">
        <f t="shared" si="6"/>
        <v/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0</v>
      </c>
      <c r="AH20" s="123">
        <f>COUNTIF($S$7:$T$78,"=" &amp; AE20 &amp; "_lose")</f>
        <v>0</v>
      </c>
      <c r="AI20" s="123">
        <f>SUMIF($E$7:$E$78,$AE20,$F$7:$F$78) + SUMIF($H$7:$H$78,$AE20,$G$7:$G$78)</f>
        <v>0</v>
      </c>
      <c r="AJ20" s="123">
        <f>SUMIF($E$7:$E$78,$AE20,$G$7:$G$78) + SUMIF($H$7:$H$78,$AE20,$F$7:$F$78)</f>
        <v>0</v>
      </c>
      <c r="AL20" s="123">
        <f>AI20-AJ20</f>
        <v>0</v>
      </c>
      <c r="AM20" s="123">
        <f>AL20-AL24</f>
        <v>0</v>
      </c>
      <c r="AN20" s="123">
        <f>AF20*3+AG20</f>
        <v>0</v>
      </c>
      <c r="AO20" s="123">
        <f>AN20/AN24*10+BA20</f>
        <v>0</v>
      </c>
      <c r="AP20" s="123">
        <f>AO20*10000000+BI20*100+AM20/AM24*10+AI20/AI24*1++IF(AQ20=0,ROW(),AQ20)/2000000</f>
        <v>8.8058000000000006E-4</v>
      </c>
      <c r="AQ20" s="126">
        <f>VLOOKUP(AE20,db_fifarank,2,FALSE)</f>
        <v>1761.16</v>
      </c>
      <c r="AR20" s="125">
        <f>AP20/AP24</f>
        <v>8.7980526108319542E-4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0</v>
      </c>
      <c r="AV20" s="126" cm="1">
        <f t="array" ref="AV20">SUMPRODUCT(($E$7:$E$78=AE20)*($U$7:$U$78)*($F$7:$F$78))+SUMPRODUCT(($H$7:$H$78=AE20)*($U$7:$U$78)*($G$7:$G$78))</f>
        <v>0</v>
      </c>
      <c r="AW20" s="126" cm="1">
        <f t="array" ref="AW20">SUMPRODUCT(($E$7:$E$78=AE20)*($U$7:$U$78)*($G$7:$G$78))+SUMPRODUCT(($H$7:$H$78=AE20)*($U$7:$U$78)*($F$7:$F$78))</f>
        <v>0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0</v>
      </c>
      <c r="BA20" s="126">
        <f>AZ20/AZ24</f>
        <v>0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0</v>
      </c>
      <c r="BD20" s="126" cm="1">
        <f t="array" ref="BD20">SUMPRODUCT(($E$7:$E$78=AE20)*($X$7:$X$78)*($F$7:$F$78))+SUMPRODUCT(($H$7:$H$78=AE20)*($X$7:$X$78)*($G$7:$G$78))</f>
        <v>0</v>
      </c>
      <c r="BE20" s="126" cm="1">
        <f t="array" ref="BE20">SUMPRODUCT(($E$7:$E$78=AE20)*($X$7:$X$78)*($G$7:$G$78))+SUMPRODUCT(($H$7:$H$78=AE20)*($X$7:$X$78)*($F$7:$F$78))</f>
        <v>0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0</v>
      </c>
      <c r="BI20" s="126">
        <f>BH20/BH24</f>
        <v>0</v>
      </c>
      <c r="BK20" s="21"/>
      <c r="BL20" s="21"/>
      <c r="BM20" s="21"/>
      <c r="BN20" s="21"/>
      <c r="BO20" s="21"/>
      <c r="BP20" s="114"/>
      <c r="BQ20" s="112"/>
      <c r="BR20" s="169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/>
      <c r="G21" s="20"/>
      <c r="H21" s="80" t="str">
        <f>AE47</f>
        <v>New Zealand</v>
      </c>
      <c r="J21" s="30" t="str">
        <f>VLOOKUP(1,AD20:AN23,2,FALSE)</f>
        <v>Brazil</v>
      </c>
      <c r="K21" s="31">
        <f>L21+M21+N21</f>
        <v>0</v>
      </c>
      <c r="L21" s="31">
        <f>VLOOKUP(1,AD20:AN23,3,FALSE)</f>
        <v>0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0 - 0</v>
      </c>
      <c r="P21" s="32">
        <f>L21*3+M21</f>
        <v>0</v>
      </c>
      <c r="R21" s="123">
        <f>DATE(2026,6,15)+TIME(14,0,0)+gmt_delta</f>
        <v>46189.041666666672</v>
      </c>
      <c r="S21" s="127" t="str">
        <f t="shared" si="1"/>
        <v/>
      </c>
      <c r="T21" s="127" t="str">
        <f t="shared" si="2"/>
        <v/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 t="str">
        <f t="shared" si="6"/>
        <v/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0</v>
      </c>
      <c r="AH21" s="123">
        <f>COUNTIF($S$7:$T$78,"=" &amp; AE21 &amp; "_lose")</f>
        <v>0</v>
      </c>
      <c r="AI21" s="123">
        <f>SUMIF($E$7:$E$78,$AE21,$F$7:$F$78) + SUMIF($H$7:$H$78,$AE21,$G$7:$G$78)</f>
        <v>0</v>
      </c>
      <c r="AJ21" s="123">
        <f>SUMIF($E$7:$E$78,$AE21,$G$7:$G$78) + SUMIF($H$7:$H$78,$AE21,$F$7:$F$78)</f>
        <v>0</v>
      </c>
      <c r="AL21" s="123">
        <f>AI21-AJ21</f>
        <v>0</v>
      </c>
      <c r="AM21" s="123">
        <f>AL21-AL24</f>
        <v>0</v>
      </c>
      <c r="AN21" s="123">
        <f>AF21*3+AG21</f>
        <v>0</v>
      </c>
      <c r="AO21" s="123">
        <f>AN21/AN24*10+BA21</f>
        <v>0</v>
      </c>
      <c r="AP21" s="123">
        <f>AO21*10000000+BI21*100+AM21/AM24*10+AI21/AI24*1++IF(AQ21=0,ROW(),AQ21)/2000000</f>
        <v>8.7793499999999994E-4</v>
      </c>
      <c r="AQ21" s="126">
        <f>VLOOKUP(AE21,db_fifarank,2,FALSE)</f>
        <v>1755.87</v>
      </c>
      <c r="AR21" s="125">
        <f>AP21/AP24</f>
        <v>8.771625881681108E-4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0</v>
      </c>
      <c r="AV21" s="126" cm="1">
        <f t="array" ref="AV21">SUMPRODUCT(($E$7:$E$78=AE21)*($U$7:$U$78)*($F$7:$F$78))+SUMPRODUCT(($H$7:$H$78=AE21)*($U$7:$U$78)*($G$7:$G$78))</f>
        <v>0</v>
      </c>
      <c r="AW21" s="126" cm="1">
        <f t="array" ref="AW21">SUMPRODUCT(($E$7:$E$78=AE21)*($U$7:$U$78)*($G$7:$G$78))+SUMPRODUCT(($H$7:$H$78=AE21)*($U$7:$U$78)*($F$7:$F$78))</f>
        <v>0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0</v>
      </c>
      <c r="BA21" s="126">
        <f>AZ21/AZ24</f>
        <v>0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0</v>
      </c>
      <c r="BD21" s="126" cm="1">
        <f t="array" ref="BD21">SUMPRODUCT(($E$7:$E$78=AE21)*($X$7:$X$78)*($F$7:$F$78))+SUMPRODUCT(($H$7:$H$78=AE21)*($X$7:$X$78)*($G$7:$G$78))</f>
        <v>0</v>
      </c>
      <c r="BE21" s="126" cm="1">
        <f t="array" ref="BE21">SUMPRODUCT(($E$7:$E$78=AE21)*($X$7:$X$78)*($G$7:$G$78))+SUMPRODUCT(($H$7:$H$78=AE21)*($X$7:$X$78)*($F$7:$F$78))</f>
        <v>0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0</v>
      </c>
      <c r="BI21" s="126">
        <f>BH21/BH24</f>
        <v>0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70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/>
      <c r="G22" s="20"/>
      <c r="H22" s="80" t="str">
        <f>AE45</f>
        <v>Egypt</v>
      </c>
      <c r="J22" s="33" t="str">
        <f>VLOOKUP(2,AD20:AN23,2,FALSE)</f>
        <v>Morocco</v>
      </c>
      <c r="K22" s="23">
        <f>L22+M22+N22</f>
        <v>0</v>
      </c>
      <c r="L22" s="23">
        <f>VLOOKUP(2,AD20:AN23,3,FALSE)</f>
        <v>0</v>
      </c>
      <c r="M22" s="23">
        <f>VLOOKUP(2,AD20:AN23,4,FALSE)</f>
        <v>0</v>
      </c>
      <c r="N22" s="23">
        <f>VLOOKUP(2,AD20:AN23,5,FALSE)</f>
        <v>0</v>
      </c>
      <c r="O22" s="23" t="str">
        <f>VLOOKUP(2,AD20:AN23,6,FALSE) &amp; " - " &amp; VLOOKUP(2,AD20:AN23,7,FALSE)</f>
        <v>0 - 0</v>
      </c>
      <c r="P22" s="34">
        <f>L22*3+M22</f>
        <v>0</v>
      </c>
      <c r="R22" s="123">
        <f>DATE(2026,6,15)+TIME(8,0,0)+gmt_delta</f>
        <v>46188.791666666672</v>
      </c>
      <c r="S22" s="127" t="str">
        <f t="shared" si="1"/>
        <v/>
      </c>
      <c r="T22" s="127" t="str">
        <f t="shared" si="2"/>
        <v/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 t="str">
        <f t="shared" si="6"/>
        <v/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0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0</v>
      </c>
      <c r="AL22" s="123">
        <f>AI22-AJ22</f>
        <v>0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6.4528677337310309E-4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69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/>
      <c r="G23" s="20"/>
      <c r="H23" s="80" t="str">
        <f>AE57</f>
        <v>Senegal</v>
      </c>
      <c r="J23" s="33" t="str">
        <f>VLOOKUP(3,AD20:AN23,2,FALSE)</f>
        <v>Scotland</v>
      </c>
      <c r="K23" s="23">
        <f>L23+M23+N23</f>
        <v>0</v>
      </c>
      <c r="L23" s="23">
        <f>VLOOKUP(3,AD20:AN23,3,FALSE)</f>
        <v>0</v>
      </c>
      <c r="M23" s="23">
        <f>VLOOKUP(3,AD20:AN23,4,FALSE)</f>
        <v>0</v>
      </c>
      <c r="N23" s="23">
        <f>VLOOKUP(3,AD20:AN23,5,FALSE)</f>
        <v>0</v>
      </c>
      <c r="O23" s="23" t="str">
        <f>VLOOKUP(3,AD20:AN23,6,FALSE) &amp; " - " &amp; VLOOKUP(3,AD20:AN23,7,FALSE)</f>
        <v>0 - 0</v>
      </c>
      <c r="P23" s="34">
        <f>L23*3+M23</f>
        <v>0</v>
      </c>
      <c r="R23" s="123">
        <f>DATE(2026,6,16)+TIME(8,0,0)+gmt_delta</f>
        <v>46189.791666666672</v>
      </c>
      <c r="S23" s="127" t="str">
        <f t="shared" si="1"/>
        <v/>
      </c>
      <c r="T23" s="127" t="str">
        <f t="shared" si="2"/>
        <v/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 t="str">
        <f t="shared" si="6"/>
        <v/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0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0</v>
      </c>
      <c r="AJ23" s="123">
        <f>SUMIF($E$7:$E$78,$AE23,$G$7:$G$78) + SUMIF($H$7:$H$78,$AE23,$F$7:$F$78)</f>
        <v>0</v>
      </c>
      <c r="AL23" s="123">
        <f>AI23-AJ23</f>
        <v>0</v>
      </c>
      <c r="AM23" s="123">
        <f>AL23-AL24</f>
        <v>0</v>
      </c>
      <c r="AN23" s="123">
        <f>AF23*3+AG23</f>
        <v>0</v>
      </c>
      <c r="AO23" s="123">
        <f>AN23/AN24*10+BA23</f>
        <v>0</v>
      </c>
      <c r="AP23" s="123">
        <f>AO23*10000000+BI23*100+AM23/AM24*10+AI23/AI24*1++IF(AQ23=0,ROW(),AQ23)/2000000</f>
        <v>7.4917499999999993E-4</v>
      </c>
      <c r="AQ23" s="126">
        <f>VLOOKUP(AE23,db_fifarank,2,FALSE)</f>
        <v>1498.35</v>
      </c>
      <c r="AR23" s="125">
        <f>AP23/AP24</f>
        <v>7.4851587189352792E-4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70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69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/>
      <c r="G24" s="20"/>
      <c r="H24" s="80" t="str">
        <f>AE59</f>
        <v>Norway</v>
      </c>
      <c r="J24" s="35" t="str">
        <f>VLOOKUP(4,AD20:AN23,2,FALSE)</f>
        <v>Haiti</v>
      </c>
      <c r="K24" s="36">
        <f>L24+M24+N24</f>
        <v>0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0</v>
      </c>
      <c r="O24" s="36" t="str">
        <f>VLOOKUP(4,AD20:AN23,6,FALSE) &amp; " - " &amp; VLOOKUP(4,AD20:AN23,7,FALSE)</f>
        <v>0 - 0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/>
      </c>
      <c r="T24" s="127" t="str">
        <f t="shared" si="2"/>
        <v/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 t="str">
        <f t="shared" si="6"/>
        <v/>
      </c>
      <c r="AF24" s="123">
        <f t="shared" ref="AF24:AH24" si="14">MAX(AF20:AF23)-MIN(AF20:AF23)+1</f>
        <v>1</v>
      </c>
      <c r="AG24" s="123">
        <f t="shared" si="14"/>
        <v>1</v>
      </c>
      <c r="AH24" s="123">
        <f t="shared" si="14"/>
        <v>1</v>
      </c>
      <c r="AI24" s="123">
        <f>MAX(AI20:AI23)+1</f>
        <v>1</v>
      </c>
      <c r="AL24" s="123">
        <f>MIN(AL20:AL23)</f>
        <v>0</v>
      </c>
      <c r="AM24" s="123">
        <f>MAX(AM20:AM23)+1</f>
        <v>1</v>
      </c>
      <c r="AN24" s="123">
        <f>MAX(AN20:AN23)+1</f>
        <v>1</v>
      </c>
      <c r="AO24" s="123">
        <f>MAX(AO20:AO23)+1</f>
        <v>1</v>
      </c>
      <c r="AP24" s="123">
        <f>MAX(AP20:AP23)+1</f>
        <v>1.00088058</v>
      </c>
      <c r="AT24" s="126">
        <f>MAX(AT20:AT23)-MIN(AT20:AT23)+1</f>
        <v>1</v>
      </c>
      <c r="AU24" s="126">
        <f>MAX(AU20:AU23)-MIN(AU20:AU23)+1</f>
        <v>1</v>
      </c>
      <c r="AV24" s="126">
        <f>MAX(AV20:AV23)-MIN(AV20:AV23)+1</f>
        <v>1</v>
      </c>
      <c r="AW24" s="126">
        <f>MAX(AW20:AW23)-MIN(AW20:AW23)+1</f>
        <v>1</v>
      </c>
      <c r="AY24" s="126">
        <f>MAX(AY20:AY23)-MIN(AY20:AY23)+1</f>
        <v>1</v>
      </c>
      <c r="AZ24" s="126">
        <f>MAX(AZ20:AZ23)+1</f>
        <v>1</v>
      </c>
      <c r="BB24" s="126">
        <f>MAX(BB20:BB23)-MIN(BB20:BB23)+1</f>
        <v>1</v>
      </c>
      <c r="BC24" s="126">
        <f>MAX(BC20:BC23)-MIN(BC20:BC23)+1</f>
        <v>1</v>
      </c>
      <c r="BD24" s="126">
        <f>MAX(BD20:BD23)-MIN(BD20:BD23)+1</f>
        <v>1</v>
      </c>
      <c r="BE24" s="126">
        <f>MAX(BE20:BE23)-MIN(BE20:BE23)+1</f>
        <v>1</v>
      </c>
      <c r="BG24" s="126">
        <f>MAX(BG20:BG23)-MIN(BG20:BG23)+1</f>
        <v>1</v>
      </c>
      <c r="BH24" s="126">
        <f>MAX(BH20:BH23)+1</f>
        <v>1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70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/>
      <c r="G25" s="20"/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/>
      </c>
      <c r="T25" s="127" t="str">
        <f t="shared" si="2"/>
        <v/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 t="str">
        <f t="shared" si="6"/>
        <v/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/>
      <c r="G26" s="20"/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/>
      </c>
      <c r="T26" s="127" t="str">
        <f t="shared" si="2"/>
        <v/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 t="str">
        <f t="shared" si="6"/>
        <v/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0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0</v>
      </c>
      <c r="AJ26" s="123">
        <f>SUMIF($E$7:$E$78,$AE26,$G$7:$G$78) + SUMIF($H$7:$H$78,$AE26,$F$7:$F$78)</f>
        <v>0</v>
      </c>
      <c r="AL26" s="123">
        <f>AI26-AJ26</f>
        <v>0</v>
      </c>
      <c r="AM26" s="123">
        <f>AL26-AL30</f>
        <v>0</v>
      </c>
      <c r="AN26" s="123">
        <f>AF26*3+AG26</f>
        <v>0</v>
      </c>
      <c r="AO26" s="123">
        <f>AN26/AN30*10+BA26</f>
        <v>0</v>
      </c>
      <c r="AP26" s="123">
        <f>AO26*10000000+BI26*100+AM26/AM30*10+AI26/AI30*1++IF(AQ26=0,ROW(),AQ26)/2000000</f>
        <v>8.3656500000000005E-4</v>
      </c>
      <c r="AQ26" s="126">
        <f>VLOOKUP(AE26,db_fifarank,2,FALSE)</f>
        <v>1673.13</v>
      </c>
      <c r="AR26" s="125">
        <f>AP26/AP30</f>
        <v>8.3586574397389256E-4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69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/>
      <c r="G27" s="20"/>
      <c r="H27" s="80" t="str">
        <f>AE77</f>
        <v>Panama</v>
      </c>
      <c r="J27" s="30" t="str">
        <f>VLOOKUP(1,AD26:AN29,2,FALSE)</f>
        <v>United States</v>
      </c>
      <c r="K27" s="31">
        <f>L27+M27+N27</f>
        <v>0</v>
      </c>
      <c r="L27" s="31">
        <f>VLOOKUP(1,AD26:AN29,3,FALSE)</f>
        <v>0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0 - 0</v>
      </c>
      <c r="P27" s="32">
        <f>L27*3+M27</f>
        <v>0</v>
      </c>
      <c r="R27" s="123">
        <f>DATE(2026,6,17)+TIME(12,0,0)+gmt_delta</f>
        <v>46190.958333333336</v>
      </c>
      <c r="S27" s="127" t="str">
        <f t="shared" si="1"/>
        <v/>
      </c>
      <c r="T27" s="127" t="str">
        <f t="shared" si="2"/>
        <v/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 t="str">
        <f t="shared" si="6"/>
        <v/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0</v>
      </c>
      <c r="AI27" s="123">
        <f>SUMIF($E$7:$E$78,$AE27,$F$7:$F$78) + SUMIF($H$7:$H$78,$AE27,$G$7:$G$78)</f>
        <v>0</v>
      </c>
      <c r="AJ27" s="123">
        <f>SUMIF($E$7:$E$78,$AE27,$G$7:$G$78) + SUMIF($H$7:$H$78,$AE27,$F$7:$F$78)</f>
        <v>0</v>
      </c>
      <c r="AL27" s="123">
        <f>AI27-AJ27</f>
        <v>0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7.5175000000000003E-4</v>
      </c>
      <c r="AQ27" s="126">
        <f>VLOOKUP(AE27,db_fifarank,2,FALSE)</f>
        <v>1503.5</v>
      </c>
      <c r="AR27" s="125">
        <f>AP27/AP30</f>
        <v>7.5112163792696765E-4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70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/>
      <c r="G28" s="20"/>
      <c r="H28" s="80" t="str">
        <f>AE75</f>
        <v>Croatia</v>
      </c>
      <c r="J28" s="33" t="str">
        <f>VLOOKUP(2,AD26:AN29,2,FALSE)</f>
        <v>Turkey</v>
      </c>
      <c r="K28" s="23">
        <f>L28+M28+N28</f>
        <v>0</v>
      </c>
      <c r="L28" s="23">
        <f>VLOOKUP(2,AD26:AN29,3,FALSE)</f>
        <v>0</v>
      </c>
      <c r="M28" s="23">
        <f>VLOOKUP(2,AD26:AN29,4,FALSE)</f>
        <v>0</v>
      </c>
      <c r="N28" s="23">
        <f>VLOOKUP(2,AD26:AN29,5,FALSE)</f>
        <v>0</v>
      </c>
      <c r="O28" s="23" t="str">
        <f>VLOOKUP(2,AD26:AN29,6,FALSE) &amp; " - " &amp; VLOOKUP(2,AD26:AN29,7,FALSE)</f>
        <v>0 - 0</v>
      </c>
      <c r="P28" s="34">
        <f>L28*3+M28</f>
        <v>0</v>
      </c>
      <c r="R28" s="123">
        <f>DATE(2026,6,17)+TIME(9,0,0)+gmt_delta</f>
        <v>46190.833333333336</v>
      </c>
      <c r="S28" s="127" t="str">
        <f t="shared" si="1"/>
        <v/>
      </c>
      <c r="T28" s="127" t="str">
        <f t="shared" si="2"/>
        <v/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 t="str">
        <f t="shared" si="6"/>
        <v/>
      </c>
      <c r="AD28" s="123">
        <f>COUNTIF(AR26:AR29,CONCATENATE("&gt;=",AR28))</f>
        <v>3</v>
      </c>
      <c r="AE28" s="124" t="str">
        <f>VLOOKUP("Australia",T,lang,FALSE)</f>
        <v>Australia</v>
      </c>
      <c r="AF28" s="123">
        <f>COUNTIF($S$7:$T$78,"=" &amp; AE28 &amp; "_win")</f>
        <v>0</v>
      </c>
      <c r="AG28" s="123">
        <f>COUNTIF($S$7:$T$78,"=" &amp; AE28 &amp; "_draw")</f>
        <v>0</v>
      </c>
      <c r="AH28" s="123">
        <f>COUNTIF($S$7:$T$78,"=" &amp; AE28 &amp; "_lose")</f>
        <v>0</v>
      </c>
      <c r="AI28" s="123">
        <f>SUMIF($E$7:$E$78,$AE28,$F$7:$F$78) + SUMIF($H$7:$H$78,$AE28,$G$7:$G$78)</f>
        <v>0</v>
      </c>
      <c r="AJ28" s="123">
        <f>SUMIF($E$7:$E$78,$AE28,$G$7:$G$78) + SUMIF($H$7:$H$78,$AE28,$F$7:$F$78)</f>
        <v>0</v>
      </c>
      <c r="AL28" s="123">
        <f>AI28-AJ28</f>
        <v>0</v>
      </c>
      <c r="AM28" s="123">
        <f>AL28-AL30</f>
        <v>0</v>
      </c>
      <c r="AN28" s="123">
        <f>AF28*3+AG28</f>
        <v>0</v>
      </c>
      <c r="AO28" s="123">
        <f>AN28/AN30*10+BA28</f>
        <v>0</v>
      </c>
      <c r="AP28" s="123">
        <f>AO28*10000000+BI28*100+AM28/AM30*10+AI28/AI30*1++IF(AQ28=0,ROW(),AQ28)/2000000</f>
        <v>7.9033500000000008E-4</v>
      </c>
      <c r="AQ28" s="126">
        <f>VLOOKUP(AE28,db_fifarank,2,FALSE)</f>
        <v>1580.67</v>
      </c>
      <c r="AR28" s="125">
        <f>AP28/AP30</f>
        <v>7.8967438604723647E-4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69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/>
      <c r="G29" s="20"/>
      <c r="H29" s="80" t="str">
        <f>AE69</f>
        <v>DR Congo</v>
      </c>
      <c r="J29" s="33" t="str">
        <f>VLOOKUP(3,AD26:AN29,2,FALSE)</f>
        <v>Australia</v>
      </c>
      <c r="K29" s="23">
        <f>L29+M29+N29</f>
        <v>0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0</v>
      </c>
      <c r="O29" s="23" t="str">
        <f>VLOOKUP(3,AD26:AN29,6,FALSE) &amp; " - " &amp; VLOOKUP(3,AD26:AN29,7,FALSE)</f>
        <v>0 - 0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/>
      </c>
      <c r="T29" s="127" t="str">
        <f t="shared" si="2"/>
        <v/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 t="str">
        <f t="shared" si="6"/>
        <v/>
      </c>
      <c r="AD29" s="123">
        <f>COUNTIF(AR26:AR29,CONCATENATE("&gt;=",AR29))</f>
        <v>2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0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0</v>
      </c>
      <c r="AL29" s="123">
        <f>AI29-AJ29</f>
        <v>0</v>
      </c>
      <c r="AM29" s="123">
        <f>AL29-AL30</f>
        <v>0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7.9951999999999996E-4</v>
      </c>
      <c r="AQ29" s="126">
        <f>VLOOKUP(AE29,db_fifarank,2,FALSE)</f>
        <v>1599.04</v>
      </c>
      <c r="AR29" s="125">
        <f>AP29/AP30</f>
        <v>7.9885170862037803E-4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70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/>
      <c r="G30" s="20"/>
      <c r="H30" s="80" t="str">
        <f>AE71</f>
        <v>Colombia</v>
      </c>
      <c r="J30" s="35" t="str">
        <f>VLOOKUP(4,AD26:AN29,2,FALSE)</f>
        <v>Paraguay</v>
      </c>
      <c r="K30" s="36">
        <f>L30+M30+N30</f>
        <v>0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0</v>
      </c>
      <c r="O30" s="36" t="str">
        <f>VLOOKUP(4,AD26:AN29,6,FALSE) &amp; " - " &amp; VLOOKUP(4,AD26:AN29,7,FALSE)</f>
        <v>0 - 0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/>
      </c>
      <c r="T30" s="127" t="str">
        <f t="shared" si="2"/>
        <v/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 t="str">
        <f t="shared" si="6"/>
        <v/>
      </c>
      <c r="AF30" s="123">
        <f t="shared" ref="AF30:AH30" si="15">MAX(AF26:AF29)-MIN(AF26:AF29)+1</f>
        <v>1</v>
      </c>
      <c r="AG30" s="123">
        <f t="shared" si="15"/>
        <v>1</v>
      </c>
      <c r="AH30" s="123">
        <f t="shared" si="15"/>
        <v>1</v>
      </c>
      <c r="AI30" s="123">
        <f>MAX(AI26:AI29)+1</f>
        <v>1</v>
      </c>
      <c r="AL30" s="123">
        <f>MIN(AL26:AL29)</f>
        <v>0</v>
      </c>
      <c r="AM30" s="123">
        <f>MAX(AM26:AM29)+1</f>
        <v>1</v>
      </c>
      <c r="AN30" s="123">
        <f>MAX(AN26:AN29)+1</f>
        <v>1</v>
      </c>
      <c r="AO30" s="123">
        <f>MAX(AO26:AO29)+1</f>
        <v>1</v>
      </c>
      <c r="AP30" s="123">
        <f>MAX(AP26:AP29)+1</f>
        <v>1.000836565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69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/>
      <c r="G31" s="20"/>
      <c r="H31" s="80" t="str">
        <f>AE9</f>
        <v>South Africa</v>
      </c>
      <c r="R31" s="123">
        <f>DATE(2026,6,18)+TIME(5,0,0)+gmt_delta</f>
        <v>46191.666666666672</v>
      </c>
      <c r="S31" s="127" t="str">
        <f>IF(OR(F31="",G31=""),"",IF(F31&gt;G31,E31&amp;"_win",IF(F31&lt;G31,E31&amp;"_lose",E31&amp;"_draw")))</f>
        <v/>
      </c>
      <c r="T31" s="127" t="str">
        <f>IF(S31="","",IF(F31&lt;G31,H31&amp;"_win",IF(F31&gt;G31,H31&amp;"_lose",H31&amp;"_draw")))</f>
        <v/>
      </c>
      <c r="U31" s="123">
        <f t="shared" si="8"/>
        <v>0</v>
      </c>
      <c r="V31" s="123">
        <f>U31*F31</f>
        <v>0</v>
      </c>
      <c r="W31" s="123">
        <f t="shared" si="4"/>
        <v>0</v>
      </c>
      <c r="X31" s="123">
        <f t="shared" si="9"/>
        <v>0</v>
      </c>
      <c r="Y31" s="123">
        <f>X31*F31</f>
        <v>0</v>
      </c>
      <c r="Z31" s="123">
        <f t="shared" si="11"/>
        <v>0</v>
      </c>
      <c r="AA31" s="123">
        <f t="shared" si="5"/>
        <v>0</v>
      </c>
      <c r="AB31" s="123" t="str">
        <f>IF(OR(F31="",G31=""),"",IF(F31&gt;G31,1,IF(F31&lt;G31,-1,0)))</f>
        <v/>
      </c>
      <c r="BK31" s="170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/>
      <c r="G32" s="20"/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>IF(OR(F32="",G32=""),"",IF(F32&gt;G32,E32&amp;"_win",IF(F32&lt;G32,E32&amp;"_lose",E32&amp;"_draw")))</f>
        <v/>
      </c>
      <c r="T32" s="127" t="str">
        <f>IF(S32="","",IF(F32&lt;G32,H32&amp;"_win",IF(F32&gt;G32,H32&amp;"_lose",H32&amp;"_draw")))</f>
        <v/>
      </c>
      <c r="U32" s="123">
        <f t="shared" si="8"/>
        <v>0</v>
      </c>
      <c r="V32" s="123">
        <f>U32*F32</f>
        <v>0</v>
      </c>
      <c r="W32" s="123">
        <f t="shared" si="4"/>
        <v>0</v>
      </c>
      <c r="X32" s="123">
        <f t="shared" si="9"/>
        <v>0</v>
      </c>
      <c r="Y32" s="123">
        <f>X32*F32</f>
        <v>0</v>
      </c>
      <c r="Z32" s="123">
        <f t="shared" si="11"/>
        <v>0</v>
      </c>
      <c r="AA32" s="123">
        <f t="shared" si="5"/>
        <v>0</v>
      </c>
      <c r="AB32" s="123" t="str">
        <f>IF(OR(F32="",G32=""),"",IF(F32&gt;G32,1,IF(F32&lt;G32,-1,0)))</f>
        <v/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0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0</v>
      </c>
      <c r="AJ32" s="123">
        <f>SUMIF($E$7:$E$78,$AE32,$G$7:$G$78) + SUMIF($H$7:$H$78,$AE32,$F$7:$F$78)</f>
        <v>0</v>
      </c>
      <c r="AL32" s="123">
        <f>AI32-AJ32</f>
        <v>0</v>
      </c>
      <c r="AM32" s="123">
        <f>AL32-AL36</f>
        <v>0</v>
      </c>
      <c r="AN32" s="123">
        <f>AF32*3+AG32</f>
        <v>0</v>
      </c>
      <c r="AO32" s="123">
        <f>AN32/AN36*10+BA32</f>
        <v>0</v>
      </c>
      <c r="AP32" s="123">
        <f>AO32*10000000+BI32*100+AM32/AM36*10+AI32/AI36*1++IF(AQ32=0,ROW(),AQ32)/2000000</f>
        <v>8.6518499999999998E-4</v>
      </c>
      <c r="AQ32" s="126">
        <f>VLOOKUP(AE32,db_fifarank,2,FALSE)</f>
        <v>1730.37</v>
      </c>
      <c r="AR32" s="125">
        <f>AP32/AP36</f>
        <v>8.6443710198591821E-4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69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/>
      <c r="G33" s="20"/>
      <c r="H33" s="80" t="str">
        <f>AE16</f>
        <v>Qatar</v>
      </c>
      <c r="J33" s="30" t="str">
        <f>VLOOKUP(1,AD32:AN35,2,FALSE)</f>
        <v>Germany</v>
      </c>
      <c r="K33" s="31">
        <f>L33+M33+N33</f>
        <v>0</v>
      </c>
      <c r="L33" s="31">
        <f>VLOOKUP(1,AD32:AN35,3,FALSE)</f>
        <v>0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0 - 0</v>
      </c>
      <c r="P33" s="32">
        <f>L33*3+M33</f>
        <v>0</v>
      </c>
      <c r="R33" s="123">
        <f>DATE(2026,6,18)+TIME(11,0,0)+gmt_delta</f>
        <v>46191.916666666672</v>
      </c>
      <c r="S33" s="127" t="str">
        <f t="shared" si="1"/>
        <v/>
      </c>
      <c r="T33" s="127" t="str">
        <f t="shared" si="2"/>
        <v/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 t="str">
        <f t="shared" si="6"/>
        <v/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0</v>
      </c>
      <c r="AI33" s="123">
        <f>SUMIF($E$7:$E$78,$AE33,$F$7:$F$78) + SUMIF($H$7:$H$78,$AE33,$G$7:$G$78)</f>
        <v>0</v>
      </c>
      <c r="AJ33" s="123">
        <f>SUMIF($E$7:$E$78,$AE33,$G$7:$G$78) + SUMIF($H$7:$H$78,$AE33,$F$7:$F$78)</f>
        <v>0</v>
      </c>
      <c r="AL33" s="123">
        <f>AI33-AJ33</f>
        <v>0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6.4732500000000003E-4</v>
      </c>
      <c r="AQ33" s="126">
        <f>VLOOKUP(AE33,db_fifarank,2,FALSE)</f>
        <v>1294.6500000000001</v>
      </c>
      <c r="AR33" s="125">
        <f>AP33/AP36</f>
        <v>6.4676542825295696E-4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70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72" t="str" cm="1">
        <f t="array" ref="CM33">INDEX(T,8,lang)</f>
        <v>Final</v>
      </c>
      <c r="CN33" s="173"/>
      <c r="CO33" s="173"/>
      <c r="CP33" s="173"/>
      <c r="CQ33" s="174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/>
      <c r="G34" s="20"/>
      <c r="H34" s="80" t="str">
        <f>AE10</f>
        <v>Korea Republic</v>
      </c>
      <c r="J34" s="33" t="str">
        <f>VLOOKUP(2,AD32:AN35,2,FALSE)</f>
        <v>Ecuador</v>
      </c>
      <c r="K34" s="23">
        <f>L34+M34+N34</f>
        <v>0</v>
      </c>
      <c r="L34" s="23">
        <f>VLOOKUP(2,AD32:AN35,3,FALSE)</f>
        <v>0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0 - 0</v>
      </c>
      <c r="P34" s="34">
        <f>L34*3+M34</f>
        <v>0</v>
      </c>
      <c r="R34" s="123">
        <f>DATE(2026,6,18)+TIME(14,0,0)+gmt_delta</f>
        <v>46192.041666666672</v>
      </c>
      <c r="S34" s="127" t="str">
        <f t="shared" si="1"/>
        <v/>
      </c>
      <c r="T34" s="127" t="str">
        <f t="shared" si="2"/>
        <v/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 t="str">
        <f t="shared" si="6"/>
        <v/>
      </c>
      <c r="AD34" s="123">
        <f>COUNTIF(AR32:AR35,CONCATENATE("&gt;=",AR34))</f>
        <v>3</v>
      </c>
      <c r="AE34" s="124" t="str">
        <f>VLOOKUP("Ivory Coast",T,lang,FALSE)</f>
        <v>Ivory Coast</v>
      </c>
      <c r="AF34" s="123">
        <f>COUNTIF($S$7:$T$78,"=" &amp; AE34 &amp; "_win")</f>
        <v>0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0</v>
      </c>
      <c r="AJ34" s="123">
        <f>SUMIF($E$7:$E$78,$AE34,$G$7:$G$78) + SUMIF($H$7:$H$78,$AE34,$F$7:$F$78)</f>
        <v>0</v>
      </c>
      <c r="AL34" s="123">
        <f>AI34-AJ34</f>
        <v>0</v>
      </c>
      <c r="AM34" s="123">
        <f>AL34-AL36</f>
        <v>0</v>
      </c>
      <c r="AN34" s="123">
        <f>AF34*3+AG34</f>
        <v>0</v>
      </c>
      <c r="AO34" s="123">
        <f>AN34/AN36*10+BA34</f>
        <v>0</v>
      </c>
      <c r="AP34" s="123">
        <f>AO34*10000000+BI34*100+AM34/AM36*10+AI34/AI36*1++IF(AQ34=0,ROW(),AQ34)/2000000</f>
        <v>7.6648999999999999E-4</v>
      </c>
      <c r="AQ34" s="126">
        <f>VLOOKUP(AE34,db_fifarank,2,FALSE)</f>
        <v>1532.98</v>
      </c>
      <c r="AR34" s="125">
        <f>AP34/AP36</f>
        <v>7.6582741760569868E-4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69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75"/>
      <c r="CN34" s="176"/>
      <c r="CO34" s="176"/>
      <c r="CP34" s="176"/>
      <c r="CQ34" s="177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Ivory Coast</v>
      </c>
      <c r="K35" s="23">
        <f>L35+M35+N35</f>
        <v>0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0</v>
      </c>
      <c r="O35" s="23" t="str">
        <f>VLOOKUP(3,AD32:AN35,6,FALSE) &amp; " - " &amp; VLOOKUP(3,AD32:AN35,7,FALSE)</f>
        <v>0 - 0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2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0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0</v>
      </c>
      <c r="AL35" s="123">
        <f>AI35-AJ35</f>
        <v>0</v>
      </c>
      <c r="AM35" s="123">
        <f>AL35-AL36</f>
        <v>0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7.9739000000000003E-4</v>
      </c>
      <c r="AQ35" s="126">
        <f>VLOOKUP(AE35,db_fifarank,2,FALSE)</f>
        <v>1594.78</v>
      </c>
      <c r="AR35" s="125">
        <f>AP35/AP36</f>
        <v>7.9670070649924736E-4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70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0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0</v>
      </c>
      <c r="O36" s="36" t="str">
        <f>VLOOKUP(4,AD32:AN35,6,FALSE) &amp; " - " &amp; VLOOKUP(4,AD32:AN35,7,FALSE)</f>
        <v>0 - 0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1</v>
      </c>
      <c r="AG36" s="123">
        <f t="shared" si="16"/>
        <v>1</v>
      </c>
      <c r="AH36" s="123">
        <f t="shared" si="16"/>
        <v>1</v>
      </c>
      <c r="AI36" s="123">
        <f>MAX(AI32:AI35)+1</f>
        <v>1</v>
      </c>
      <c r="AL36" s="123">
        <f>MIN(AL32:AL35)</f>
        <v>0</v>
      </c>
      <c r="AM36" s="123">
        <f>MAX(AM32:AM35)+1</f>
        <v>1</v>
      </c>
      <c r="AN36" s="123">
        <f>MAX(AN32:AN35)+1</f>
        <v>1</v>
      </c>
      <c r="AO36" s="123">
        <f>MAX(AO32:AO35)+1</f>
        <v>1</v>
      </c>
      <c r="AP36" s="123">
        <f>MAX(AP32:AP35)+1</f>
        <v>1.0008651850000001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69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/>
      <c r="G37" s="20"/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/>
      </c>
      <c r="T37" s="127" t="str">
        <f t="shared" si="2"/>
        <v/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 t="str">
        <f t="shared" si="6"/>
        <v/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70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69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0</v>
      </c>
      <c r="AH38" s="123">
        <f>COUNTIF($S$7:$T$78,"=" &amp; AE38 &amp; "_lose")</f>
        <v>0</v>
      </c>
      <c r="AI38" s="123">
        <f>SUMIF($E$7:$E$78,$AE38,$F$7:$F$78) + SUMIF($H$7:$H$78,$AE38,$G$7:$G$78)</f>
        <v>0</v>
      </c>
      <c r="AJ38" s="123">
        <f>SUMIF($E$7:$E$78,$AE38,$G$7:$G$78) + SUMIF($H$7:$H$78,$AE38,$F$7:$F$78)</f>
        <v>0</v>
      </c>
      <c r="AL38" s="123">
        <f>AI38-AJ38</f>
        <v>0</v>
      </c>
      <c r="AM38" s="123">
        <f>AL38-AL42</f>
        <v>0</v>
      </c>
      <c r="AN38" s="123">
        <f>AF38*3+AG38</f>
        <v>0</v>
      </c>
      <c r="AO38" s="123">
        <f>AN38/AN42*10+BA38</f>
        <v>0</v>
      </c>
      <c r="AP38" s="123">
        <f>AO38*10000000+BI38*100+AM38/AM42*10+AI38/AI42*1++IF(AQ38=0,ROW(),AQ38)/2000000</f>
        <v>8.7893499999999996E-4</v>
      </c>
      <c r="AQ38" s="126">
        <f>VLOOKUP(AE38,db_fifarank,2,FALSE)</f>
        <v>1757.87</v>
      </c>
      <c r="AR38" s="125">
        <f>AP38/AP42</f>
        <v>8.7816315167028663E-4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69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70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Netherlands</v>
      </c>
      <c r="K39" s="31">
        <f>L39+M39+N39</f>
        <v>0</v>
      </c>
      <c r="L39" s="31">
        <f>VLOOKUP(1,AD38:AN41,3,FALSE)</f>
        <v>0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0 - 0</v>
      </c>
      <c r="P39" s="32">
        <f>L39*3+M39</f>
        <v>0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0</v>
      </c>
      <c r="AH39" s="123">
        <f>COUNTIF($S$7:$T$78,"=" &amp; AE39 &amp; "_lose")</f>
        <v>0</v>
      </c>
      <c r="AI39" s="123">
        <f>SUMIF($E$7:$E$78,$AE39,$F$7:$F$78) + SUMIF($H$7:$H$78,$AE39,$G$7:$G$78)</f>
        <v>0</v>
      </c>
      <c r="AJ39" s="123">
        <f>SUMIF($E$7:$E$78,$AE39,$G$7:$G$78) + SUMIF($H$7:$H$78,$AE39,$F$7:$F$78)</f>
        <v>0</v>
      </c>
      <c r="AL39" s="123">
        <f>AI39-AJ39</f>
        <v>0</v>
      </c>
      <c r="AM39" s="123">
        <f>AL39-AL42</f>
        <v>0</v>
      </c>
      <c r="AN39" s="123">
        <f>AF39*3+AG39</f>
        <v>0</v>
      </c>
      <c r="AO39" s="123">
        <f>AN39/AN42*10+BA39</f>
        <v>0</v>
      </c>
      <c r="AP39" s="123">
        <f>AO39*10000000+BI39*100+AM39/AM42*10+AI39/AI42*1++IF(AQ39=0,ROW(),AQ39)/2000000</f>
        <v>8.3021500000000003E-4</v>
      </c>
      <c r="AQ39" s="126">
        <f>VLOOKUP(AE39,db_fifarank,2,FALSE)</f>
        <v>1660.43</v>
      </c>
      <c r="AR39" s="125">
        <f>AP39/AP42</f>
        <v>8.2948593577903611E-4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70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Japan</v>
      </c>
      <c r="K40" s="23">
        <f>L40+M40+N40</f>
        <v>0</v>
      </c>
      <c r="L40" s="23">
        <f>VLOOKUP(2,AD38:AN41,3,FALSE)</f>
        <v>0</v>
      </c>
      <c r="M40" s="23">
        <f>VLOOKUP(2,AD38:AN41,4,FALSE)</f>
        <v>0</v>
      </c>
      <c r="N40" s="23">
        <f>VLOOKUP(2,AD38:AN41,5,FALSE)</f>
        <v>0</v>
      </c>
      <c r="O40" s="23" t="str">
        <f>VLOOKUP(2,AD38:AN41,6,FALSE) &amp; " - " &amp; VLOOKUP(2,AD38:AN41,7,FALSE)</f>
        <v>0 - 0</v>
      </c>
      <c r="P40" s="34">
        <f>L40*3+M40</f>
        <v>0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0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0</v>
      </c>
      <c r="AJ40" s="123">
        <f>SUMIF($E$7:$E$78,$AE40,$G$7:$G$78) + SUMIF($H$7:$H$78,$AE40,$F$7:$F$78)</f>
        <v>0</v>
      </c>
      <c r="AL40" s="123">
        <f>AI40-AJ40</f>
        <v>0</v>
      </c>
      <c r="AM40" s="123">
        <f>AL40-AL42</f>
        <v>0</v>
      </c>
      <c r="AN40" s="123">
        <f>AF40*3+AG40</f>
        <v>0</v>
      </c>
      <c r="AO40" s="123">
        <f>AN40/AN42*10+BA40</f>
        <v>0</v>
      </c>
      <c r="AP40" s="123">
        <f>AO40*10000000+BI40*100+AM40/AM42*10+AI40/AI42*1++IF(AQ40=0,ROW(),AQ40)/2000000</f>
        <v>7.5738499999999996E-4</v>
      </c>
      <c r="AQ40" s="126">
        <f>VLOOKUP(AE40,db_fifarank,2,FALSE)</f>
        <v>1514.77</v>
      </c>
      <c r="AR40" s="125">
        <f>AP40/AP42</f>
        <v>7.5671989240137219E-4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Sweden</v>
      </c>
      <c r="K41" s="23">
        <f>L41+M41+N41</f>
        <v>0</v>
      </c>
      <c r="L41" s="23">
        <f>VLOOKUP(3,AD38:AN41,3,FALSE)</f>
        <v>0</v>
      </c>
      <c r="M41" s="23">
        <f>VLOOKUP(3,AD38:AN41,4,FALSE)</f>
        <v>0</v>
      </c>
      <c r="N41" s="23">
        <f>VLOOKUP(3,AD38:AN41,5,FALSE)</f>
        <v>0</v>
      </c>
      <c r="O41" s="23" t="str">
        <f>VLOOKUP(3,AD38:AN41,6,FALSE) &amp; " - " &amp; VLOOKUP(3,AD38:AN41,7,FALSE)</f>
        <v>0 - 0</v>
      </c>
      <c r="P41" s="34">
        <f>L41*3+M41</f>
        <v>0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0</v>
      </c>
      <c r="AI41" s="123">
        <f>SUMIF($E$7:$E$78,$AE41,$F$7:$F$78) + SUMIF($H$7:$H$78,$AE41,$G$7:$G$78)</f>
        <v>0</v>
      </c>
      <c r="AJ41" s="123">
        <f>SUMIF($E$7:$E$78,$AE41,$G$7:$G$78) + SUMIF($H$7:$H$78,$AE41,$F$7:$F$78)</f>
        <v>0</v>
      </c>
      <c r="AL41" s="123">
        <f>AI41-AJ41</f>
        <v>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7.4152499999999993E-4</v>
      </c>
      <c r="AQ41" s="126">
        <f>VLOOKUP(AE41,db_fifarank,2,FALSE)</f>
        <v>1483.05</v>
      </c>
      <c r="AR41" s="125">
        <f>AP41/AP42</f>
        <v>7.4087382006895759E-4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0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0</v>
      </c>
      <c r="O42" s="36" t="str">
        <f>VLOOKUP(4,AD38:AN41,6,FALSE) &amp; " - " &amp; VLOOKUP(4,AD38:AN41,7,FALSE)</f>
        <v>0 - 0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1</v>
      </c>
      <c r="AG42" s="123">
        <f t="shared" si="18"/>
        <v>1</v>
      </c>
      <c r="AH42" s="123">
        <f t="shared" si="18"/>
        <v>1</v>
      </c>
      <c r="AI42" s="123">
        <f>MAX(AI38:AI41)+1</f>
        <v>1</v>
      </c>
      <c r="AL42" s="123">
        <f>MIN(AL38:AL41)</f>
        <v>0</v>
      </c>
      <c r="AM42" s="123">
        <f>MAX(AM38:AM41)+1</f>
        <v>1</v>
      </c>
      <c r="AN42" s="123">
        <f>MAX(AN38:AN41)+1</f>
        <v>1</v>
      </c>
      <c r="AO42" s="123">
        <f>MAX(AO38:AO41)+1</f>
        <v>1</v>
      </c>
      <c r="AP42" s="123">
        <f>MAX(AP38:AP41)+1</f>
        <v>1.000878935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69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70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0</v>
      </c>
      <c r="AH44" s="123">
        <f>COUNTIF($S$7:$T$78,"=" &amp; AE44 &amp; "_lose")</f>
        <v>0</v>
      </c>
      <c r="AI44" s="123">
        <f>SUMIF($E$7:$E$78,$AE44,$F$7:$F$78) + SUMIF($H$7:$H$78,$AE44,$G$7:$G$78)</f>
        <v>0</v>
      </c>
      <c r="AJ44" s="123">
        <f>SUMIF($E$7:$E$78,$AE44,$G$7:$G$78) + SUMIF($H$7:$H$78,$AE44,$F$7:$F$78)</f>
        <v>0</v>
      </c>
      <c r="AL44" s="123">
        <f>AI44-AJ44</f>
        <v>0</v>
      </c>
      <c r="AM44" s="123">
        <f>AL44-AL48</f>
        <v>0</v>
      </c>
      <c r="AN44" s="123">
        <f>AF44*3+AG44</f>
        <v>0</v>
      </c>
      <c r="AO44" s="123">
        <f>AN44/AN48*10+BA44</f>
        <v>0</v>
      </c>
      <c r="AP44" s="123">
        <f>AO44*10000000+BI44*100+AM44/AM48*10+AI44/AI48*1++IF(AQ44=0,ROW(),AQ44)/2000000</f>
        <v>8.6735499999999999E-4</v>
      </c>
      <c r="AQ44" s="126">
        <f>VLOOKUP(AE44,db_fifarank,2,FALSE)</f>
        <v>1734.71</v>
      </c>
      <c r="AR44" s="125">
        <f>AP44/AP48</f>
        <v>8.6660334725374266E-4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0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0</v>
      </c>
      <c r="BA44" s="126">
        <f>AZ44/AZ48</f>
        <v>0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0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0</v>
      </c>
      <c r="BI44" s="126">
        <f>BH44/BH48</f>
        <v>0</v>
      </c>
      <c r="BK44" s="21"/>
      <c r="BL44" s="21"/>
      <c r="BM44" s="21"/>
      <c r="BN44" s="21"/>
      <c r="BO44" s="21"/>
      <c r="BP44" s="114"/>
      <c r="BQ44" s="112"/>
      <c r="BR44" s="169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72" t="str" cm="1">
        <f t="array" ref="CM44">INDEX(T,7,lang)</f>
        <v>Third-Place Play-Off</v>
      </c>
      <c r="CN44" s="173"/>
      <c r="CO44" s="173"/>
      <c r="CP44" s="173"/>
      <c r="CQ44" s="174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Belgium</v>
      </c>
      <c r="K45" s="31">
        <f>L45+M45+N45</f>
        <v>0</v>
      </c>
      <c r="L45" s="31">
        <f>VLOOKUP(1,AD44:AN47,3,FALSE)</f>
        <v>0</v>
      </c>
      <c r="M45" s="31">
        <f>VLOOKUP(1,AD44:AN47,4,FALSE)</f>
        <v>0</v>
      </c>
      <c r="N45" s="31">
        <f>VLOOKUP(1,AD44:AN47,5,FALSE)</f>
        <v>0</v>
      </c>
      <c r="O45" s="31" t="str">
        <f>VLOOKUP(1,AD44:AN47,6,FALSE) &amp; " - " &amp; VLOOKUP(1,AD44:AN47,7,FALSE)</f>
        <v>0 - 0</v>
      </c>
      <c r="P45" s="32">
        <f>L45*3+M45</f>
        <v>0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3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0</v>
      </c>
      <c r="AH45" s="123">
        <f>COUNTIF($S$7:$T$78,"=" &amp; AE45 &amp; "_lose")</f>
        <v>0</v>
      </c>
      <c r="AI45" s="123">
        <f>SUMIF($E$7:$E$78,$AE45,$F$7:$F$78) + SUMIF($H$7:$H$78,$AE45,$G$7:$G$78)</f>
        <v>0</v>
      </c>
      <c r="AJ45" s="123">
        <f>SUMIF($E$7:$E$78,$AE45,$G$7:$G$78) + SUMIF($H$7:$H$78,$AE45,$F$7:$F$78)</f>
        <v>0</v>
      </c>
      <c r="AL45" s="123">
        <f>AI45-AJ45</f>
        <v>0</v>
      </c>
      <c r="AM45" s="123">
        <f>AL45-AL48</f>
        <v>0</v>
      </c>
      <c r="AN45" s="123">
        <f>AF45*3+AG45</f>
        <v>0</v>
      </c>
      <c r="AO45" s="123">
        <f>AN45/AN48*10+BA45</f>
        <v>0</v>
      </c>
      <c r="AP45" s="123">
        <f>AO45*10000000+BI45*100+AM45/AM48*10+AI45/AI48*1++IF(AQ45=0,ROW(),AQ45)/2000000</f>
        <v>7.8162000000000001E-4</v>
      </c>
      <c r="AQ45" s="126">
        <f>VLOOKUP(AE45,db_fifarank,2,FALSE)</f>
        <v>1563.24</v>
      </c>
      <c r="AR45" s="125">
        <f>AP45/AP48</f>
        <v>7.809426454917195E-4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70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75"/>
      <c r="CN45" s="176"/>
      <c r="CO45" s="176"/>
      <c r="CP45" s="176"/>
      <c r="CQ45" s="177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Iran</v>
      </c>
      <c r="K46" s="23">
        <f>L46+M46+N46</f>
        <v>0</v>
      </c>
      <c r="L46" s="23">
        <f>VLOOKUP(2,AD44:AN47,3,FALSE)</f>
        <v>0</v>
      </c>
      <c r="M46" s="23">
        <f>VLOOKUP(2,AD44:AN47,4,FALSE)</f>
        <v>0</v>
      </c>
      <c r="N46" s="23">
        <f>VLOOKUP(2,AD44:AN47,5,FALSE)</f>
        <v>0</v>
      </c>
      <c r="O46" s="23" t="str">
        <f>VLOOKUP(2,AD44:AN47,6,FALSE) &amp; " - " &amp; VLOOKUP(2,AD44:AN47,7,FALSE)</f>
        <v>0 - 0</v>
      </c>
      <c r="P46" s="34">
        <f>L46*3+M46</f>
        <v>0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2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0</v>
      </c>
      <c r="AH46" s="123">
        <f>COUNTIF($S$7:$T$78,"=" &amp; AE46 &amp; "_lose")</f>
        <v>0</v>
      </c>
      <c r="AI46" s="123">
        <f>SUMIF($E$7:$E$78,$AE46,$F$7:$F$78) + SUMIF($H$7:$H$78,$AE46,$G$7:$G$78)</f>
        <v>0</v>
      </c>
      <c r="AJ46" s="123">
        <f>SUMIF($E$7:$E$78,$AE46,$G$7:$G$78) + SUMIF($H$7:$H$78,$AE46,$F$7:$F$78)</f>
        <v>0</v>
      </c>
      <c r="AL46" s="123">
        <f>AI46-AJ46</f>
        <v>0</v>
      </c>
      <c r="AM46" s="123">
        <f>AL46-AL48</f>
        <v>0</v>
      </c>
      <c r="AN46" s="123">
        <f>AF46*3+AG46</f>
        <v>0</v>
      </c>
      <c r="AO46" s="123">
        <f>AN46/AN48*10+BA46</f>
        <v>0</v>
      </c>
      <c r="AP46" s="123">
        <f>AO46*10000000+BI46*100+AM46/AM48*10+AI46/AI48*1++IF(AQ46=0,ROW(),AQ46)/2000000</f>
        <v>8.0764999999999993E-4</v>
      </c>
      <c r="AQ46" s="126">
        <f>VLOOKUP(AE46,db_fifarank,2,FALSE)</f>
        <v>1615.3</v>
      </c>
      <c r="AR46" s="125">
        <f>AP46/AP48</f>
        <v>8.0695008780659041E-4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69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Egypt</v>
      </c>
      <c r="K47" s="23">
        <f>L47+M47+N47</f>
        <v>0</v>
      </c>
      <c r="L47" s="23">
        <f>VLOOKUP(3,AD44:AN47,3,FALSE)</f>
        <v>0</v>
      </c>
      <c r="M47" s="23">
        <f>VLOOKUP(3,AD44:AN47,4,FALSE)</f>
        <v>0</v>
      </c>
      <c r="N47" s="23">
        <f>VLOOKUP(3,AD44:AN47,5,FALSE)</f>
        <v>0</v>
      </c>
      <c r="O47" s="23" t="str">
        <f>VLOOKUP(3,AD44:AN47,6,FALSE) &amp; " - " &amp; VLOOKUP(3,AD44:AN47,7,FALSE)</f>
        <v>0 - 0</v>
      </c>
      <c r="P47" s="34">
        <f>L47*3+M47</f>
        <v>0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0</v>
      </c>
      <c r="AH47" s="123">
        <f>COUNTIF($S$7:$T$78,"=" &amp; AE47 &amp; "_lose")</f>
        <v>0</v>
      </c>
      <c r="AI47" s="123">
        <f>SUMIF($E$7:$E$78,$AE47,$F$7:$F$78) + SUMIF($H$7:$H$78,$AE47,$G$7:$G$78)</f>
        <v>0</v>
      </c>
      <c r="AJ47" s="123">
        <f>SUMIF($E$7:$E$78,$AE47,$G$7:$G$78) + SUMIF($H$7:$H$78,$AE47,$F$7:$F$78)</f>
        <v>0</v>
      </c>
      <c r="AL47" s="123">
        <f>AI47-AJ47</f>
        <v>0</v>
      </c>
      <c r="AM47" s="123">
        <f>AL47-AL48</f>
        <v>0</v>
      </c>
      <c r="AN47" s="123">
        <f>AF47*3+AG47</f>
        <v>0</v>
      </c>
      <c r="AO47" s="123">
        <f>AN47/AN48*10+BA47</f>
        <v>0</v>
      </c>
      <c r="AP47" s="123">
        <f>AO47*10000000+BI47*100+AM47/AM48*10+AI47/AI48*1++IF(AQ47=0,ROW(),AQ47)/2000000</f>
        <v>6.4078499999999994E-4</v>
      </c>
      <c r="AQ47" s="126">
        <f>VLOOKUP(AE47,db_fifarank,2,FALSE)</f>
        <v>1281.57</v>
      </c>
      <c r="AR47" s="125">
        <f>AP47/AP48</f>
        <v>6.4022969357412996E-4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70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New Zealand</v>
      </c>
      <c r="K48" s="36">
        <f>L48+M48+N48</f>
        <v>0</v>
      </c>
      <c r="L48" s="36">
        <f>VLOOKUP(4,AD44:AN47,3,FALSE)</f>
        <v>0</v>
      </c>
      <c r="M48" s="36">
        <f>VLOOKUP(4,AD44:AN47,4,FALSE)</f>
        <v>0</v>
      </c>
      <c r="N48" s="36">
        <f>VLOOKUP(4,AD44:AN47,5,FALSE)</f>
        <v>0</v>
      </c>
      <c r="O48" s="36" t="str">
        <f>VLOOKUP(4,AD44:AN47,6,FALSE) &amp; " - " &amp; VLOOKUP(4,AD44:AN47,7,FALSE)</f>
        <v>0 - 0</v>
      </c>
      <c r="P48" s="37">
        <f>L48*3+M48</f>
        <v>0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1</v>
      </c>
      <c r="AL48" s="123">
        <f>MIN(AL44:AL47)</f>
        <v>0</v>
      </c>
      <c r="AM48" s="123">
        <f>MAX(AM44:AM47)+1</f>
        <v>1</v>
      </c>
      <c r="AN48" s="123">
        <f>MAX(AN44:AN47)+1</f>
        <v>1</v>
      </c>
      <c r="AO48" s="123">
        <f>MAX(AO44:AO47)+1</f>
        <v>1</v>
      </c>
      <c r="AP48" s="123">
        <f>MAX(AP44:AP47)+1</f>
        <v>1.000867355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1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69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69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70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70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0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0</v>
      </c>
      <c r="AO50" s="123">
        <f>AN50/AN54*10+BA50</f>
        <v>0</v>
      </c>
      <c r="AP50" s="123">
        <f>AO50*10000000+BI50*100+AM50/AM54*10+AI50/AI54*1++IF(AQ50=0,ROW(),AQ50)/2000000</f>
        <v>9.3820000000000004E-4</v>
      </c>
      <c r="AQ50" s="126">
        <f>VLOOKUP(AE50,db_fifarank,2,FALSE)</f>
        <v>1876.4</v>
      </c>
      <c r="AR50" s="125">
        <f>AP50/AP54</f>
        <v>9.3732060580763133E-4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69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Spain</v>
      </c>
      <c r="K51" s="31">
        <f>L51+M51+N51</f>
        <v>0</v>
      </c>
      <c r="L51" s="31">
        <f>VLOOKUP(1,AD50:AN53,3,FALSE)</f>
        <v>0</v>
      </c>
      <c r="M51" s="31">
        <f>VLOOKUP(1,AD50:AN53,4,FALSE)</f>
        <v>0</v>
      </c>
      <c r="N51" s="31">
        <f>VLOOKUP(1,AD50:AN53,5,FALSE)</f>
        <v>0</v>
      </c>
      <c r="O51" s="31" t="str">
        <f>VLOOKUP(1,AD50:AN53,6,FALSE) &amp; " - " &amp; VLOOKUP(1,AD50:AN53,7,FALSE)</f>
        <v>0 - 0</v>
      </c>
      <c r="P51" s="32">
        <f>L51*3+M51</f>
        <v>0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0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0</v>
      </c>
      <c r="AO51" s="123">
        <f>AN51/AN54*10+BA51</f>
        <v>0</v>
      </c>
      <c r="AP51" s="123">
        <f>AO51*10000000+BI51*100+AM51/AM54*10+AI51/AI54*1++IF(AQ51=0,ROW(),AQ51)/2000000</f>
        <v>6.8306500000000006E-4</v>
      </c>
      <c r="AQ51" s="126">
        <f>VLOOKUP(AE51,db_fifarank,2,FALSE)</f>
        <v>1366.13</v>
      </c>
      <c r="AR51" s="125">
        <f>AP51/AP54</f>
        <v>6.8242474910039407E-4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70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Uruguay</v>
      </c>
      <c r="K52" s="23">
        <f>L52+M52+N52</f>
        <v>0</v>
      </c>
      <c r="L52" s="23">
        <f>VLOOKUP(2,AD50:AN53,3,FALSE)</f>
        <v>0</v>
      </c>
      <c r="M52" s="23">
        <f>VLOOKUP(2,AD50:AN53,4,FALSE)</f>
        <v>0</v>
      </c>
      <c r="N52" s="23">
        <f>VLOOKUP(2,AD50:AN53,5,FALSE)</f>
        <v>0</v>
      </c>
      <c r="O52" s="23" t="str">
        <f>VLOOKUP(2,AD50:AN53,6,FALSE) &amp; " - " &amp; VLOOKUP(2,AD50:AN53,7,FALSE)</f>
        <v>0 - 0</v>
      </c>
      <c r="P52" s="34">
        <f>L52*3+M52</f>
        <v>0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3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0</v>
      </c>
      <c r="AH52" s="123">
        <f>COUNTIF($S$7:$T$78,"=" &amp; AE52 &amp; "_lose")</f>
        <v>0</v>
      </c>
      <c r="AI52" s="123">
        <f>SUMIF($E$7:$E$78,$AE52,$F$7:$F$78) + SUMIF($H$7:$H$78,$AE52,$G$7:$G$78)</f>
        <v>0</v>
      </c>
      <c r="AJ52" s="123">
        <f>SUMIF($E$7:$E$78,$AE52,$G$7:$G$78) + SUMIF($H$7:$H$78,$AE52,$F$7:$F$78)</f>
        <v>0</v>
      </c>
      <c r="AL52" s="123">
        <f>AI52-AJ52</f>
        <v>0</v>
      </c>
      <c r="AM52" s="123">
        <f>AL52-AL54</f>
        <v>0</v>
      </c>
      <c r="AN52" s="123">
        <f>AF52*3+AG52</f>
        <v>0</v>
      </c>
      <c r="AO52" s="123">
        <f>AN52/AN54*10+BA52</f>
        <v>0</v>
      </c>
      <c r="AP52" s="123">
        <f>AO52*10000000+BI52*100+AM52/AM54*10+AI52/AI54*1++IF(AQ52=0,ROW(),AQ52)/2000000</f>
        <v>7.10715E-4</v>
      </c>
      <c r="AQ52" s="126">
        <f>VLOOKUP(AE52,db_fifarank,2,FALSE)</f>
        <v>1421.43</v>
      </c>
      <c r="AR52" s="125">
        <f>AP52/AP54</f>
        <v>7.1004883218564344E-4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69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Saudi Arabia</v>
      </c>
      <c r="K53" s="23">
        <f>L53+M53+N53</f>
        <v>0</v>
      </c>
      <c r="L53" s="23">
        <f>VLOOKUP(3,AD50:AN53,3,FALSE)</f>
        <v>0</v>
      </c>
      <c r="M53" s="23">
        <f>VLOOKUP(3,AD50:AN53,4,FALSE)</f>
        <v>0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0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0</v>
      </c>
      <c r="AH53" s="123">
        <f>COUNTIF($S$7:$T$78,"=" &amp; AE53 &amp; "_lose")</f>
        <v>0</v>
      </c>
      <c r="AI53" s="123">
        <f>SUMIF($E$7:$E$78,$AE53,$F$7:$F$78) + SUMIF($H$7:$H$78,$AE53,$G$7:$G$78)</f>
        <v>0</v>
      </c>
      <c r="AJ53" s="123">
        <f>SUMIF($E$7:$E$78,$AE53,$G$7:$G$78) + SUMIF($H$7:$H$78,$AE53,$F$7:$F$78)</f>
        <v>0</v>
      </c>
      <c r="AL53" s="123">
        <f>AI53-AJ53</f>
        <v>0</v>
      </c>
      <c r="AM53" s="123">
        <f>AL53-AL54</f>
        <v>0</v>
      </c>
      <c r="AN53" s="123">
        <f>AF53*3+AG53</f>
        <v>0</v>
      </c>
      <c r="AO53" s="123">
        <f>AN53/AN54*10+BA53</f>
        <v>0</v>
      </c>
      <c r="AP53" s="123">
        <f>AO53*10000000+BI53*100+AM53/AM54*10+AI53/AI54*1++IF(AQ53=0,ROW(),AQ53)/2000000</f>
        <v>8.3653500000000001E-4</v>
      </c>
      <c r="AQ53" s="126">
        <f>VLOOKUP(AE53,db_fifarank,2,FALSE)</f>
        <v>1673.07</v>
      </c>
      <c r="AR53" s="125">
        <f>AP53/AP54</f>
        <v>8.3575089850702075E-4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0</v>
      </c>
      <c r="AV53" s="126" cm="1">
        <f t="array" ref="AV53">SUMPRODUCT(($E$7:$E$78=AE53)*($U$7:$U$78)*($F$7:$F$78))+SUMPRODUCT(($H$7:$H$78=AE53)*($U$7:$U$78)*($G$7:$G$78))</f>
        <v>0</v>
      </c>
      <c r="AW53" s="126" cm="1">
        <f t="array" ref="AW53">SUMPRODUCT(($E$7:$E$78=AE53)*($U$7:$U$78)*($G$7:$G$78))+SUMPRODUCT(($H$7:$H$78=AE53)*($U$7:$U$78)*($F$7:$F$78))</f>
        <v>0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0</v>
      </c>
      <c r="BA53" s="126">
        <f>AZ53/AZ54</f>
        <v>0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0</v>
      </c>
      <c r="BD53" s="126" cm="1">
        <f t="array" ref="BD53">SUMPRODUCT(($E$7:$E$78=AE53)*($X$7:$X$78)*($F$7:$F$78))+SUMPRODUCT(($H$7:$H$78=AE53)*($X$7:$X$78)*($G$7:$G$78))</f>
        <v>0</v>
      </c>
      <c r="BE53" s="126" cm="1">
        <f t="array" ref="BE53">SUMPRODUCT(($E$7:$E$78=AE53)*($X$7:$X$78)*($G$7:$G$78))+SUMPRODUCT(($H$7:$H$78=AE53)*($X$7:$X$78)*($F$7:$F$78))</f>
        <v>0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0</v>
      </c>
      <c r="BI53" s="126">
        <f>BH53/BH54</f>
        <v>0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70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0</v>
      </c>
      <c r="L54" s="36">
        <f>VLOOKUP(4,AD50:AN53,3,FALSE)</f>
        <v>0</v>
      </c>
      <c r="M54" s="36">
        <f>VLOOKUP(4,AD50:AN53,4,FALSE)</f>
        <v>0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0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1</v>
      </c>
      <c r="AL54" s="123">
        <f>MIN(AL50:AL53)</f>
        <v>0</v>
      </c>
      <c r="AM54" s="123">
        <f>MAX(AM50:AM53)+1</f>
        <v>1</v>
      </c>
      <c r="AN54" s="123">
        <f>MAX(AN50:AN53)+1</f>
        <v>1</v>
      </c>
      <c r="AO54" s="123">
        <f>MAX(AO50:AO53)+1</f>
        <v>1</v>
      </c>
      <c r="AP54" s="123">
        <f>MAX(AP50:AP53)+1</f>
        <v>1.0009382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1</v>
      </c>
      <c r="AW54" s="126">
        <f>MAX(AW50:AW53)-MIN(AW50:AW53)+1</f>
        <v>1</v>
      </c>
      <c r="AY54" s="126">
        <f>MAX(AY50:AY53)-MIN(AY50:AY53)+1</f>
        <v>1</v>
      </c>
      <c r="AZ54" s="126">
        <f>MAX(AZ50:AZ53)+1</f>
        <v>1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1</v>
      </c>
      <c r="BE54" s="126">
        <f>MAX(BE50:BE53)-MIN(BE50:BE53)+1</f>
        <v>1</v>
      </c>
      <c r="BG54" s="126">
        <f>MAX(BG50:BG53)-MIN(BG50:BG53)+1</f>
        <v>1</v>
      </c>
      <c r="BH54" s="126">
        <f>MAX(BH50:BH53)+1</f>
        <v>1</v>
      </c>
      <c r="BK54" s="169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70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69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0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0</v>
      </c>
      <c r="AJ56" s="123">
        <f>SUMIF($E$7:$E$78,$AE56,$G$7:$G$78) + SUMIF($H$7:$H$78,$AE56,$F$7:$F$78)</f>
        <v>0</v>
      </c>
      <c r="AL56" s="123">
        <f>AI56-AJ56</f>
        <v>0</v>
      </c>
      <c r="AM56" s="123">
        <f>AL56-AL60</f>
        <v>0</v>
      </c>
      <c r="AN56" s="123">
        <f>AF56*3+AG56</f>
        <v>0</v>
      </c>
      <c r="AO56" s="123">
        <f>AN56/AN60*10+BA56</f>
        <v>0</v>
      </c>
      <c r="AP56" s="123">
        <f>AO56*10000000+BI56*100+AM56/AM60*10+AI56/AI60*1++IF(AQ56=0,ROW(),AQ56)/2000000</f>
        <v>9.3866000000000002E-4</v>
      </c>
      <c r="AQ56" s="126">
        <f>VLOOKUP(AE56,db_fifarank,2,FALSE)</f>
        <v>1877.32</v>
      </c>
      <c r="AR56" s="125">
        <f>AP56/AP60</f>
        <v>9.3777974366581059E-4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70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0</v>
      </c>
      <c r="L57" s="31">
        <f>VLOOKUP(1,AD56:AN59,3,FALSE)</f>
        <v>0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0 - 0</v>
      </c>
      <c r="P57" s="32">
        <f>L57*3+M57</f>
        <v>0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2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0</v>
      </c>
      <c r="AI57" s="123">
        <f>SUMIF($E$7:$E$78,$AE57,$F$7:$F$78) + SUMIF($H$7:$H$78,$AE57,$G$7:$G$78)</f>
        <v>0</v>
      </c>
      <c r="AJ57" s="123">
        <f>SUMIF($E$7:$E$78,$AE57,$G$7:$G$78) + SUMIF($H$7:$H$78,$AE57,$F$7:$F$78)</f>
        <v>0</v>
      </c>
      <c r="AL57" s="123">
        <f>AI57-AJ57</f>
        <v>0</v>
      </c>
      <c r="AM57" s="123">
        <f>AL57-AL60</f>
        <v>0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8.4449500000000001E-4</v>
      </c>
      <c r="AQ57" s="126">
        <f>VLOOKUP(AE57,db_fifarank,2,FALSE)</f>
        <v>1688.99</v>
      </c>
      <c r="AR57" s="125">
        <f>AP57/AP60</f>
        <v>8.4370304969537283E-4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Senegal</v>
      </c>
      <c r="K58" s="23">
        <f>L58+M58+N58</f>
        <v>0</v>
      </c>
      <c r="L58" s="23">
        <f>VLOOKUP(2,AD56:AN59,3,FALSE)</f>
        <v>0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0 - 0</v>
      </c>
      <c r="P58" s="34">
        <f>L58*3+M58</f>
        <v>0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0</v>
      </c>
      <c r="AI58" s="123">
        <f>SUMIF($E$7:$E$78,$AE58,$F$7:$F$78) + SUMIF($H$7:$H$78,$AE58,$G$7:$G$78)</f>
        <v>0</v>
      </c>
      <c r="AJ58" s="123">
        <f>SUMIF($E$7:$E$78,$AE58,$G$7:$G$78) + SUMIF($H$7:$H$78,$AE58,$F$7:$F$78)</f>
        <v>0</v>
      </c>
      <c r="AL58" s="123">
        <f>AI58-AJ58</f>
        <v>0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7.2357000000000009E-4</v>
      </c>
      <c r="AQ58" s="126">
        <f>VLOOKUP(AE58,db_fifarank,2,FALSE)</f>
        <v>1447.14</v>
      </c>
      <c r="AR58" s="125">
        <f>AP58/AP60</f>
        <v>7.2289145071087577E-4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69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Norway</v>
      </c>
      <c r="K59" s="23">
        <f>L59+M59+N59</f>
        <v>0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0</v>
      </c>
      <c r="O59" s="23" t="str">
        <f>VLOOKUP(3,AD56:AN59,6,FALSE) &amp; " - " &amp; VLOOKUP(3,AD56:AN59,7,FALSE)</f>
        <v>0 - 0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3</v>
      </c>
      <c r="AE59" s="124" t="str">
        <f>VLOOKUP("Norway",T,lang,FALSE)</f>
        <v>Norway</v>
      </c>
      <c r="AF59" s="123">
        <f>COUNTIF($S$7:$T$78,"=" &amp; AE59 &amp; "_win")</f>
        <v>0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0</v>
      </c>
      <c r="AJ59" s="123">
        <f>SUMIF($E$7:$E$78,$AE59,$G$7:$G$78) + SUMIF($H$7:$H$78,$AE59,$F$7:$F$78)</f>
        <v>0</v>
      </c>
      <c r="AL59" s="123">
        <f>AI59-AJ59</f>
        <v>0</v>
      </c>
      <c r="AM59" s="123">
        <f>AL59-AL60</f>
        <v>0</v>
      </c>
      <c r="AN59" s="123">
        <f>AF59*3+AG59</f>
        <v>0</v>
      </c>
      <c r="AO59" s="123">
        <f>AN59/AN60*10+BA59</f>
        <v>0</v>
      </c>
      <c r="AP59" s="123">
        <f>AO59*10000000+BI59*100+AM59/AM60*10+AI59/AI60*1++IF(AQ59=0,ROW(),AQ59)/2000000</f>
        <v>7.7547E-4</v>
      </c>
      <c r="AQ59" s="126">
        <f>VLOOKUP(AE59,db_fifarank,2,FALSE)</f>
        <v>1550.94</v>
      </c>
      <c r="AR59" s="125">
        <f>AP59/AP60</f>
        <v>7.7474277994217945E-4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70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0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0</v>
      </c>
      <c r="O60" s="36" t="str">
        <f>VLOOKUP(4,AD56:AN59,6,FALSE) &amp; " - " &amp; VLOOKUP(4,AD56:AN59,7,FALSE)</f>
        <v>0 - 0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1</v>
      </c>
      <c r="AG60" s="123">
        <f t="shared" si="27"/>
        <v>1</v>
      </c>
      <c r="AH60" s="123">
        <f t="shared" si="27"/>
        <v>1</v>
      </c>
      <c r="AI60" s="123">
        <f>MAX(AI56:AI59)+1</f>
        <v>1</v>
      </c>
      <c r="AL60" s="123">
        <f>MIN(AL56:AL59)</f>
        <v>0</v>
      </c>
      <c r="AM60" s="123">
        <f>MAX(AM56:AM59)+1</f>
        <v>1</v>
      </c>
      <c r="AN60" s="123">
        <f>MAX(AN56:AN59)+1</f>
        <v>1</v>
      </c>
      <c r="AO60" s="123">
        <f>MAX(AO56:AO59)+1</f>
        <v>1</v>
      </c>
      <c r="AP60" s="123">
        <f>MAX(AP56:AP59)+1</f>
        <v>1.0009386600000001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69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70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0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0</v>
      </c>
      <c r="AJ62" s="123">
        <f>SUMIF($E$7:$E$78,$AE62,$G$7:$G$78) + SUMIF($H$7:$H$78,$AE62,$F$7:$F$78)</f>
        <v>0</v>
      </c>
      <c r="AL62" s="123">
        <f>AI62-AJ62</f>
        <v>0</v>
      </c>
      <c r="AM62" s="123">
        <f>AL62-AL66</f>
        <v>0</v>
      </c>
      <c r="AN62" s="123">
        <f>AF62*3+AG62</f>
        <v>0</v>
      </c>
      <c r="AO62" s="123">
        <f>AN62/AN66*10+BA62</f>
        <v>0</v>
      </c>
      <c r="AP62" s="123">
        <f>AO62*10000000+BI62*100+AM62/AM66*10+AI62/AI66*1++IF(AQ62=0,ROW(),AQ62)/2000000</f>
        <v>9.3740999999999996E-4</v>
      </c>
      <c r="AQ62" s="126">
        <f>VLOOKUP(AE62,db_fifarank,2,FALSE)</f>
        <v>1874.82</v>
      </c>
      <c r="AR62" s="125">
        <f>AP62/AP66</f>
        <v>9.3653208545777108E-4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69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0</v>
      </c>
      <c r="L63" s="31">
        <f>VLOOKUP(1,AD62:AN65,3,FALSE)</f>
        <v>0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0 - 0</v>
      </c>
      <c r="P63" s="32">
        <f>L63*3+M63</f>
        <v>0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0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0</v>
      </c>
      <c r="AL63" s="123">
        <f>AI63-AJ63</f>
        <v>0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7.8139751016000102E-4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70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0</v>
      </c>
      <c r="L64" s="23">
        <f>VLOOKUP(2,AD62:AN65,3,FALSE)</f>
        <v>0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0 - 0</v>
      </c>
      <c r="P64" s="34">
        <f>L64*3+M64</f>
        <v>0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0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0</v>
      </c>
      <c r="AJ64" s="123">
        <f>SUMIF($E$7:$E$78,$AE64,$G$7:$G$78) + SUMIF($H$7:$H$78,$AE64,$F$7:$F$78)</f>
        <v>0</v>
      </c>
      <c r="AL64" s="123">
        <f>AI64-AJ64</f>
        <v>0</v>
      </c>
      <c r="AM64" s="123">
        <f>AL64-AL66</f>
        <v>0</v>
      </c>
      <c r="AN64" s="123">
        <f>AF64*3+AG64</f>
        <v>0</v>
      </c>
      <c r="AO64" s="123">
        <f>AN64/AN66*10+BA64</f>
        <v>0</v>
      </c>
      <c r="AP64" s="123">
        <f>AO64*10000000+BI64*100+AM64/AM66*10+AI64/AI66*1++IF(AQ64=0,ROW(),AQ64)/2000000</f>
        <v>7.9672499999999997E-4</v>
      </c>
      <c r="AQ64" s="126">
        <f>VLOOKUP(AE64,db_fifarank,2,FALSE)</f>
        <v>1593.45</v>
      </c>
      <c r="AR64" s="125">
        <f>AP64/AP66</f>
        <v>7.9597884147421369E-4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69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0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0</v>
      </c>
      <c r="O65" s="23" t="str">
        <f>VLOOKUP(3,AD62:AN65,6,FALSE) &amp; " - " &amp; VLOOKUP(3,AD62:AN65,7,FALSE)</f>
        <v>0 - 0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0</v>
      </c>
      <c r="AI65" s="123">
        <f>SUMIF($E$7:$E$78,$AE65,$F$7:$F$78) + SUMIF($H$7:$H$78,$AE65,$G$7:$G$78)</f>
        <v>0</v>
      </c>
      <c r="AJ65" s="123">
        <f>SUMIF($E$7:$E$78,$AE65,$G$7:$G$78) + SUMIF($H$7:$H$78,$AE65,$F$7:$F$78)</f>
        <v>0</v>
      </c>
      <c r="AL65" s="123">
        <f>AI65-AJ65</f>
        <v>0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6.9572500000000001E-4</v>
      </c>
      <c r="AQ65" s="126">
        <f>VLOOKUP(AE65,db_fifarank,2,FALSE)</f>
        <v>1391.45</v>
      </c>
      <c r="AR65" s="125">
        <f>AP65/AP66</f>
        <v>6.9507343121484491E-4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70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0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0</v>
      </c>
      <c r="O66" s="36" t="str">
        <f>VLOOKUP(4,AD62:AN65,6,FALSE) &amp; " - " &amp; VLOOKUP(4,AD62:AN65,7,FALSE)</f>
        <v>0 - 0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1</v>
      </c>
      <c r="AG66" s="123">
        <f t="shared" si="28"/>
        <v>1</v>
      </c>
      <c r="AH66" s="123">
        <f t="shared" si="28"/>
        <v>1</v>
      </c>
      <c r="AI66" s="123">
        <f>MAX(AI62:AI65)+1</f>
        <v>1</v>
      </c>
      <c r="AL66" s="123">
        <f>MIN(AL62:AL65)</f>
        <v>0</v>
      </c>
      <c r="AM66" s="123">
        <f>MAX(AM62:AM65)+1</f>
        <v>1</v>
      </c>
      <c r="AN66" s="123">
        <f>MAX(AN62:AN65)+1</f>
        <v>1</v>
      </c>
      <c r="AO66" s="123">
        <f>MAX(AO62:AO65)+1</f>
        <v>1</v>
      </c>
      <c r="AP66" s="123">
        <f>MAX(AP62:AP65)+1</f>
        <v>1.0009374099999999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69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70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0</v>
      </c>
      <c r="AH68" s="123">
        <f>COUNTIF($S$7:$T$78,"=" &amp; AE68 &amp; "_lose")</f>
        <v>0</v>
      </c>
      <c r="AI68" s="123">
        <f>SUMIF($E$7:$E$78,$AE68,$F$7:$F$78) + SUMIF($H$7:$H$78,$AE68,$G$7:$G$78)</f>
        <v>0</v>
      </c>
      <c r="AJ68" s="123">
        <f>SUMIF($E$7:$E$78,$AE68,$G$7:$G$78) + SUMIF($H$7:$H$78,$AE68,$F$7:$F$78)</f>
        <v>0</v>
      </c>
      <c r="AL68" s="123">
        <f>AI68-AJ68</f>
        <v>0</v>
      </c>
      <c r="AM68" s="123">
        <f>AL68-AL72</f>
        <v>0</v>
      </c>
      <c r="AN68" s="123">
        <f>AF68*3+AG68</f>
        <v>0</v>
      </c>
      <c r="AO68" s="123">
        <f>AN68/AN72*10+BA68</f>
        <v>0</v>
      </c>
      <c r="AP68" s="123">
        <f>AO68*10000000+BI68*100+AM68/AM72*10+AI68/AI72*1++IF(AQ68=0,ROW(),AQ68)/2000000</f>
        <v>8.8191499999999993E-4</v>
      </c>
      <c r="AQ68" s="126">
        <f>VLOOKUP(AE68,db_fifarank,2,FALSE)</f>
        <v>1763.83</v>
      </c>
      <c r="AR68" s="125">
        <f>AP68/AP72</f>
        <v>8.8113791125899203E-4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69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71" t="str">
        <f>INDEX(T,144,lang)</f>
        <v>World Champion 2026</v>
      </c>
      <c r="CF68" s="171"/>
      <c r="CG68" s="171"/>
      <c r="CH68" s="171"/>
      <c r="CI68" s="171"/>
      <c r="CJ68" s="171"/>
      <c r="CK68" s="159" t="str">
        <f>IF(CR37&gt;CR38,CN37,IF(CR37&lt;CR38,CN38,""))</f>
        <v/>
      </c>
      <c r="CL68" s="159"/>
      <c r="CM68" s="159"/>
      <c r="CN68" s="159"/>
      <c r="CO68" s="159"/>
      <c r="CP68" s="159"/>
      <c r="CQ68" s="159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0</v>
      </c>
      <c r="L69" s="31">
        <f>VLOOKUP(1,AD68:AN71,3,FALSE)</f>
        <v>0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0 - 0</v>
      </c>
      <c r="P69" s="32">
        <f>L69*3+M69</f>
        <v>0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0</v>
      </c>
      <c r="AH69" s="123">
        <f>COUNTIF($S$7:$T$78,"=" &amp; AE69 &amp; "_lose")</f>
        <v>0</v>
      </c>
      <c r="AI69" s="123">
        <f>SUMIF($E$7:$E$78,$AE69,$F$7:$F$78) + SUMIF($H$7:$H$78,$AE69,$G$7:$G$78)</f>
        <v>0</v>
      </c>
      <c r="AJ69" s="123">
        <f>SUMIF($E$7:$E$78,$AE69,$G$7:$G$78) + SUMIF($H$7:$H$78,$AE69,$F$7:$F$78)</f>
        <v>0</v>
      </c>
      <c r="AL69" s="123">
        <f>AI69-AJ69</f>
        <v>0</v>
      </c>
      <c r="AM69" s="123">
        <f>AL69-AL72</f>
        <v>0</v>
      </c>
      <c r="AN69" s="123">
        <f>AF69*3+AG69</f>
        <v>0</v>
      </c>
      <c r="AO69" s="123">
        <f>AN69/AN72*10+BA69</f>
        <v>0</v>
      </c>
      <c r="AP69" s="123">
        <f>AO69*10000000+BI69*100+AM69/AM72*10+AI69/AI72*1++IF(AQ69=0,ROW(),AQ69)/2000000</f>
        <v>7.391749999999999E-4</v>
      </c>
      <c r="AQ69" s="126">
        <f>VLOOKUP(AE69,db_fifarank,2,FALSE)</f>
        <v>1478.35</v>
      </c>
      <c r="AR69" s="125">
        <f>AP69/AP72</f>
        <v>7.385236848844451E-4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70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71"/>
      <c r="CF69" s="171"/>
      <c r="CG69" s="171"/>
      <c r="CH69" s="171"/>
      <c r="CI69" s="171"/>
      <c r="CJ69" s="171"/>
      <c r="CK69" s="159"/>
      <c r="CL69" s="159"/>
      <c r="CM69" s="159"/>
      <c r="CN69" s="159"/>
      <c r="CO69" s="159"/>
      <c r="CP69" s="159"/>
      <c r="CQ69" s="159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Colombia</v>
      </c>
      <c r="K70" s="23">
        <f>L70+M70+N70</f>
        <v>0</v>
      </c>
      <c r="L70" s="23">
        <f>VLOOKUP(2,AD68:AN71,3,FALSE)</f>
        <v>0</v>
      </c>
      <c r="M70" s="23">
        <f>VLOOKUP(2,AD68:AN71,4,FALSE)</f>
        <v>0</v>
      </c>
      <c r="N70" s="23">
        <f>VLOOKUP(2,AD68:AN71,5,FALSE)</f>
        <v>0</v>
      </c>
      <c r="O70" s="23" t="str">
        <f>VLOOKUP(2,AD68:AN71,6,FALSE) &amp; " - " &amp; VLOOKUP(2,AD68:AN71,7,FALSE)</f>
        <v>0 - 0</v>
      </c>
      <c r="P70" s="34">
        <f>L70*3+M70</f>
        <v>0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0</v>
      </c>
      <c r="AI70" s="123">
        <f>SUMIF($E$7:$E$78,$AE70,$F$7:$F$78) + SUMIF($H$7:$H$78,$AE70,$G$7:$G$78)</f>
        <v>0</v>
      </c>
      <c r="AJ70" s="123">
        <f>SUMIF($E$7:$E$78,$AE70,$G$7:$G$78) + SUMIF($H$7:$H$78,$AE70,$F$7:$F$78)</f>
        <v>0</v>
      </c>
      <c r="AL70" s="123">
        <f>AI70-AJ70</f>
        <v>0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7.3266999999999994E-4</v>
      </c>
      <c r="AQ70" s="126">
        <f>VLOOKUP(AE70,db_fifarank,2,FALSE)</f>
        <v>1465.34</v>
      </c>
      <c r="AR70" s="125">
        <f>AP70/AP72</f>
        <v>7.3202441668655794E-4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69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0</v>
      </c>
      <c r="L71" s="23">
        <f>VLOOKUP(3,AD68:AN71,3,FALSE)</f>
        <v>0</v>
      </c>
      <c r="M71" s="23">
        <f>VLOOKUP(3,AD68:AN71,4,FALSE)</f>
        <v>0</v>
      </c>
      <c r="N71" s="23">
        <f>VLOOKUP(3,AD68:AN71,5,FALSE)</f>
        <v>0</v>
      </c>
      <c r="O71" s="23" t="str">
        <f>VLOOKUP(3,AD68:AN71,6,FALSE) &amp; " - " &amp; VLOOKUP(3,AD68:AN71,7,FALSE)</f>
        <v>0 - 0</v>
      </c>
      <c r="P71" s="34">
        <f>L71*3+M71</f>
        <v>0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2</v>
      </c>
      <c r="AE71" s="124" t="str">
        <f>VLOOKUP("Colombia",T,lang,FALSE)</f>
        <v>Colombia</v>
      </c>
      <c r="AF71" s="123">
        <f>COUNTIF($S$7:$T$78,"=" &amp; AE71 &amp; "_win")</f>
        <v>0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0</v>
      </c>
      <c r="AJ71" s="123">
        <f>SUMIF($E$7:$E$78,$AE71,$G$7:$G$78) + SUMIF($H$7:$H$78,$AE71,$F$7:$F$78)</f>
        <v>0</v>
      </c>
      <c r="AL71" s="123">
        <f>AI71-AJ71</f>
        <v>0</v>
      </c>
      <c r="AM71" s="123">
        <f>AL71-AL72</f>
        <v>0</v>
      </c>
      <c r="AN71" s="123">
        <f>AF71*3+AG71</f>
        <v>0</v>
      </c>
      <c r="AO71" s="123">
        <f>AN71/AN72*10+BA71</f>
        <v>0</v>
      </c>
      <c r="AP71" s="123">
        <f>AO71*10000000+BI71*100+AM71/AM72*10+AI71/AI72*1++IF(AQ71=0,ROW(),AQ71)/2000000</f>
        <v>8.4654499999999998E-4</v>
      </c>
      <c r="AQ71" s="126">
        <f>VLOOKUP(AE71,db_fifarank,2,FALSE)</f>
        <v>1693.09</v>
      </c>
      <c r="AR71" s="125">
        <f>AP71/AP72</f>
        <v>8.4579907710691335E-4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70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0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0</v>
      </c>
      <c r="O72" s="36" t="str">
        <f>VLOOKUP(4,AD68:AN71,6,FALSE) &amp; " - " &amp; VLOOKUP(4,AD68:AN71,7,FALSE)</f>
        <v>0 - 0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1</v>
      </c>
      <c r="AG72" s="123">
        <f t="shared" si="35"/>
        <v>1</v>
      </c>
      <c r="AH72" s="123">
        <f t="shared" si="35"/>
        <v>1</v>
      </c>
      <c r="AI72" s="123">
        <f>MAX(AI68:AI71)+1</f>
        <v>1</v>
      </c>
      <c r="AL72" s="123">
        <f>MIN(AL68:AL71)</f>
        <v>0</v>
      </c>
      <c r="AM72" s="123">
        <f>MAX(AM68:AM71)+1</f>
        <v>1</v>
      </c>
      <c r="AN72" s="123">
        <f>MAX(AN68:AN71)+1</f>
        <v>1</v>
      </c>
      <c r="AO72" s="123">
        <f>MAX(AO68:AO71)+1</f>
        <v>1</v>
      </c>
      <c r="AP72" s="123">
        <f>MAX(AP68:AP71)+1</f>
        <v>1.0008819149999999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0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0</v>
      </c>
      <c r="AJ74" s="123">
        <f>SUMIF($E$7:$E$78,$AE74,$G$7:$G$78) + SUMIF($H$7:$H$78,$AE74,$F$7:$F$78)</f>
        <v>0</v>
      </c>
      <c r="AL74" s="123">
        <f>AI74-AJ74</f>
        <v>0</v>
      </c>
      <c r="AM74" s="123">
        <f>AL74-AL78</f>
        <v>0</v>
      </c>
      <c r="AN74" s="123">
        <f>AF74*3+AG74</f>
        <v>0</v>
      </c>
      <c r="AO74" s="123">
        <f>AN74/AN78*10+BA74</f>
        <v>0</v>
      </c>
      <c r="AP74" s="123">
        <f>AO74*10000000+BI74*100+AM74/AM78*10+AI74/AI78*1++IF(AQ74=0,ROW(),AQ74)/2000000</f>
        <v>9.1298500000000006E-4</v>
      </c>
      <c r="AQ74" s="126">
        <f>VLOOKUP(AE74,db_fifarank,2,FALSE)</f>
        <v>1825.97</v>
      </c>
      <c r="AR74" s="125">
        <f>AP74/AP78</f>
        <v>9.1215221870660421E-4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0</v>
      </c>
      <c r="L75" s="31">
        <f>VLOOKUP(1,AD74:AN77,3,FALSE)</f>
        <v>0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0 - 0</v>
      </c>
      <c r="P75" s="32">
        <f>L75*3+M75</f>
        <v>0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0</v>
      </c>
      <c r="AI75" s="123">
        <f>SUMIF($E$7:$E$78,$AE75,$F$7:$F$78) + SUMIF($H$7:$H$78,$AE75,$G$7:$G$78)</f>
        <v>0</v>
      </c>
      <c r="AJ75" s="123">
        <f>SUMIF($E$7:$E$78,$AE75,$G$7:$G$78) + SUMIF($H$7:$H$78,$AE75,$F$7:$F$78)</f>
        <v>0</v>
      </c>
      <c r="AL75" s="123">
        <f>AI75-AJ75</f>
        <v>0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8.5853500000000001E-4</v>
      </c>
      <c r="AQ75" s="126">
        <f>VLOOKUP(AE75,db_fifarank,2,FALSE)</f>
        <v>1717.07</v>
      </c>
      <c r="AR75" s="125">
        <f>AP75/AP78</f>
        <v>8.5775188539491268E-4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0</v>
      </c>
      <c r="L76" s="23">
        <f>VLOOKUP(2,AD74:AN77,3,FALSE)</f>
        <v>0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0 - 0</v>
      </c>
      <c r="P76" s="34">
        <f>L76*3+M76</f>
        <v>0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4</v>
      </c>
      <c r="AE76" s="124" t="str">
        <f>VLOOKUP("Ghana",T,lang,FALSE)</f>
        <v>Ghana</v>
      </c>
      <c r="AF76" s="123">
        <f>COUNTIF($S$7:$T$78,"=" &amp; AE76 &amp; "_win")</f>
        <v>0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0</v>
      </c>
      <c r="AJ76" s="123">
        <f>SUMIF($E$7:$E$78,$AE76,$G$7:$G$78) + SUMIF($H$7:$H$78,$AE76,$F$7:$F$78)</f>
        <v>0</v>
      </c>
      <c r="AL76" s="123">
        <f>AI76-AJ76</f>
        <v>0</v>
      </c>
      <c r="AM76" s="123">
        <f>AL76-AL78</f>
        <v>0</v>
      </c>
      <c r="AN76" s="123">
        <f>AF76*3+AG76</f>
        <v>0</v>
      </c>
      <c r="AO76" s="123">
        <f>AN76/AN78*10+BA76</f>
        <v>0</v>
      </c>
      <c r="AP76" s="123">
        <f>AO76*10000000+BI76*100+AM76/AM78*10+AI76/AI78*1++IF(AQ76=0,ROW(),AQ76)/2000000</f>
        <v>6.7315499999999993E-4</v>
      </c>
      <c r="AQ76" s="126">
        <f>VLOOKUP(AE76,db_fifarank,2,FALSE)</f>
        <v>1346.31</v>
      </c>
      <c r="AR76" s="125">
        <f>AP76/AP78</f>
        <v>6.7254098017321647E-4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0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0</v>
      </c>
      <c r="O77" s="23" t="str">
        <f>VLOOKUP(3,AD74:AN77,6,FALSE) &amp; " - " &amp; VLOOKUP(3,AD74:AN77,7,FALSE)</f>
        <v>0 - 0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0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0</v>
      </c>
      <c r="AL77" s="123">
        <f>AI77-AJ77</f>
        <v>0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7.6961735090288596E-4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Ghana</v>
      </c>
      <c r="K78" s="36">
        <f>L78+M78+N78</f>
        <v>0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0</v>
      </c>
      <c r="O78" s="36" t="str">
        <f>VLOOKUP(4,AD74:AN77,6,FALSE) &amp; " - " &amp; VLOOKUP(4,AD74:AN77,7,FALSE)</f>
        <v>0 - 0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1</v>
      </c>
      <c r="AG78" s="123">
        <f t="shared" si="36"/>
        <v>1</v>
      </c>
      <c r="AH78" s="123">
        <f t="shared" si="36"/>
        <v>1</v>
      </c>
      <c r="AI78" s="123">
        <f>MAX(AI74:AI77)+1</f>
        <v>1</v>
      </c>
      <c r="AL78" s="123">
        <f>MIN(AL74:AL77)</f>
        <v>0</v>
      </c>
      <c r="AM78" s="123">
        <f>MAX(AM74:AM77)+1</f>
        <v>1</v>
      </c>
      <c r="AN78" s="123">
        <f>MAX(AN74:AN77)+1</f>
        <v>1</v>
      </c>
      <c r="AO78" s="123">
        <f>MAX(AO74:AO77)+1</f>
        <v>1</v>
      </c>
      <c r="AP78" s="123">
        <f>MAX(AP74:AP77)+1</f>
        <v>1.000912985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8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0</v>
      </c>
      <c r="AH80" s="123">
        <f>VLOOKUP($AE80,$AE$8:$AQ$78,4,FALSE)</f>
        <v>0</v>
      </c>
      <c r="AI80" s="123">
        <f>VLOOKUP($AE80,$AE$8:$AQ$78,5,FALSE)</f>
        <v>0</v>
      </c>
      <c r="AJ80" s="123">
        <f>VLOOKUP($AE80,$AE$8:$AQ$78,6,FALSE)</f>
        <v>0</v>
      </c>
      <c r="AK80" s="123" t="s">
        <v>3180</v>
      </c>
      <c r="AL80" s="123">
        <f>VLOOKUP($AE80,$AE$8:$AQ$78,8,FALSE)</f>
        <v>0</v>
      </c>
      <c r="AM80" s="123">
        <f>AL80-$AL$92</f>
        <v>0</v>
      </c>
      <c r="AN80" s="123">
        <f>VLOOKUP($AE80,$AE$8:$AQ$78,10,FALSE)</f>
        <v>0</v>
      </c>
      <c r="AP80" s="123">
        <f>AN80/AN92*10000+AM80/AM92*1000+AI80/AI92*100+IF(AQ80=0,ROW(),AQ80)/2000000</f>
        <v>7.5069000000000004E-4</v>
      </c>
      <c r="AQ80" s="126">
        <f t="shared" ref="AQ80:AQ91" si="37">VLOOKUP($AE80,$AE$8:$AQ$78,13,FALSE)</f>
        <v>1501.38</v>
      </c>
      <c r="AR80" s="125" t="str">
        <f>IF(AD80&lt;=8,RIGHT(AK80,1),"")</f>
        <v>A</v>
      </c>
      <c r="AS80" s="129" t="str">
        <f>IF(AD80&lt;=8,AE80,"")</f>
        <v>Czech Republic</v>
      </c>
      <c r="AT80" s="130" t="str">
        <f>"Ⓐ "&amp;AE80</f>
        <v>Ⓐ Czech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Ⓓ Australia</v>
      </c>
      <c r="K81" s="97">
        <f>L81+M81+N81</f>
        <v>0</v>
      </c>
      <c r="L81" s="97">
        <f>VLOOKUP(1,$AD$80:$AN$91,3,FALSE)</f>
        <v>0</v>
      </c>
      <c r="M81" s="97">
        <f>VLOOKUP(1,$AD$80:$AN$91,4,FALSE)</f>
        <v>0</v>
      </c>
      <c r="N81" s="97">
        <f>VLOOKUP(1,$AD$80:$AN$91,5,FALSE)</f>
        <v>0</v>
      </c>
      <c r="O81" s="97" t="str">
        <f>VLOOKUP(1,$AD$80:$AN$91,6,FALSE) &amp; " - " &amp; VLOOKUP(1,$AD$80:$AN$91,7,FALSE)</f>
        <v>0 - 0</v>
      </c>
      <c r="P81" s="98">
        <f>L81*3+M81</f>
        <v>0</v>
      </c>
      <c r="AD81" s="123">
        <f t="shared" ref="AD81:AD91" si="38">COUNTIF($AP$80:$AP$91,CONCATENATE("&gt;=",AP81))</f>
        <v>11</v>
      </c>
      <c r="AE81" s="124" t="str">
        <f>J17</f>
        <v>Qatar</v>
      </c>
      <c r="AF81" s="123">
        <f t="shared" ref="AF81:AF91" si="39">VLOOKUP($AE81,$AE$8:$AQ$78,2,FALSE)</f>
        <v>0</v>
      </c>
      <c r="AG81" s="123">
        <f>VLOOKUP($AE81,$AE$8:$AQ$78,3,FALSE)</f>
        <v>0</v>
      </c>
      <c r="AH81" s="123">
        <f t="shared" ref="AH81:AH90" si="40">VLOOKUP($AE81,$AE$8:$AQ$78,4,FALSE)</f>
        <v>0</v>
      </c>
      <c r="AI81" s="123">
        <f t="shared" ref="AI81:AI90" si="41">VLOOKUP($AE81,$AE$8:$AQ$78,5,FALSE)</f>
        <v>0</v>
      </c>
      <c r="AJ81" s="123">
        <f t="shared" ref="AJ81:AJ90" si="42">VLOOKUP($AE81,$AE$8:$AQ$78,6,FALSE)</f>
        <v>0</v>
      </c>
      <c r="AK81" s="123" t="s">
        <v>3181</v>
      </c>
      <c r="AL81" s="123">
        <f t="shared" ref="AL81:AL90" si="43">VLOOKUP($AE81,$AE$8:$AQ$78,8,FALSE)</f>
        <v>0</v>
      </c>
      <c r="AM81" s="123">
        <f t="shared" ref="AM81:AM91" si="44">AL81-$AL$92</f>
        <v>0</v>
      </c>
      <c r="AN81" s="123">
        <f t="shared" ref="AN81:AN90" si="45">VLOOKUP($AE81,$AE$8:$AQ$78,10,FALSE)</f>
        <v>0</v>
      </c>
      <c r="AP81" s="123">
        <f>AN81/AN92*10000+AM81/AM92*1000+AI81/AI92*100+IF(AQ81=0,ROW(),AQ81)/2000000</f>
        <v>7.2747999999999997E-4</v>
      </c>
      <c r="AQ81" s="126">
        <f t="shared" si="37"/>
        <v>1454.96</v>
      </c>
      <c r="AR81" s="125" t="str">
        <f>AR80&amp;IF(AD81&lt;=8,RIGHT(AK81,1),"")</f>
        <v>A</v>
      </c>
      <c r="AS81" s="129" t="str">
        <f t="shared" ref="AS81:AS91" si="46">IF(AD81&lt;=8,AE81,"")</f>
        <v/>
      </c>
      <c r="AT81" s="130" t="str">
        <f>"Ⓑ "&amp;AE81</f>
        <v>Ⓑ Qatar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Ⓙ Algeria</v>
      </c>
      <c r="K82" s="100">
        <f t="shared" ref="K82:K92" si="47">L82+M82+N82</f>
        <v>0</v>
      </c>
      <c r="L82" s="100">
        <f>VLOOKUP(2,$AD$80:$AN$91,3,FALSE)</f>
        <v>0</v>
      </c>
      <c r="M82" s="100">
        <f>VLOOKUP(2,$AD$80:$AN$91,4,FALSE)</f>
        <v>0</v>
      </c>
      <c r="N82" s="100">
        <f>VLOOKUP(2,$AD$80:$AN$91,5,FALSE)</f>
        <v>0</v>
      </c>
      <c r="O82" s="100" t="str">
        <f>VLOOKUP(2,$AD$80:$AN$91,6,FALSE) &amp; " - " &amp; VLOOKUP(2,$AD$80:$AN$91,7,FALSE)</f>
        <v>0 - 0</v>
      </c>
      <c r="P82" s="101">
        <f t="shared" ref="P82:P92" si="48">L82*3+M82</f>
        <v>0</v>
      </c>
      <c r="AD82" s="123">
        <f t="shared" si="38"/>
        <v>9</v>
      </c>
      <c r="AE82" s="124" t="str">
        <f>J23</f>
        <v>Scotland</v>
      </c>
      <c r="AF82" s="123">
        <f t="shared" si="39"/>
        <v>0</v>
      </c>
      <c r="AG82" s="123">
        <f t="shared" ref="AG82:AG91" si="49">VLOOKUP($AE82,$AE$8:$AQ$78,3,FALSE)</f>
        <v>0</v>
      </c>
      <c r="AH82" s="123">
        <f t="shared" si="40"/>
        <v>0</v>
      </c>
      <c r="AI82" s="123">
        <f t="shared" si="41"/>
        <v>0</v>
      </c>
      <c r="AJ82" s="123">
        <f t="shared" si="42"/>
        <v>0</v>
      </c>
      <c r="AK82" s="123" t="s">
        <v>3182</v>
      </c>
      <c r="AL82" s="123">
        <f t="shared" si="43"/>
        <v>0</v>
      </c>
      <c r="AM82" s="123">
        <f t="shared" si="44"/>
        <v>0</v>
      </c>
      <c r="AN82" s="123">
        <f t="shared" si="45"/>
        <v>0</v>
      </c>
      <c r="AP82" s="123">
        <f>AN82/AN92*10000+AM82/AM92*1000+AI82/AI92*100+IF(AQ82=0,ROW(),AQ82)/2000000</f>
        <v>7.4917499999999993E-4</v>
      </c>
      <c r="AQ82" s="126">
        <f t="shared" si="37"/>
        <v>1498.35</v>
      </c>
      <c r="AR82" s="125" t="str">
        <f t="shared" ref="AR82:AR91" si="50">AR81&amp;IF(AD82&lt;=8,RIGHT(AK82,1),"")</f>
        <v>A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">
      <c r="A83" s="73"/>
      <c r="B83" s="73"/>
      <c r="C83" s="160" t="s">
        <v>3183</v>
      </c>
      <c r="D83" s="161"/>
      <c r="E83" s="161"/>
      <c r="F83" s="161"/>
      <c r="G83" s="162"/>
      <c r="H83" s="75"/>
      <c r="I83" s="69"/>
      <c r="J83" s="99" t="str">
        <f>VLOOKUP(3,$AD$80:$AT$91,17,FALSE)</f>
        <v>Ⓖ Egypt</v>
      </c>
      <c r="K83" s="100">
        <f t="shared" si="47"/>
        <v>0</v>
      </c>
      <c r="L83" s="100">
        <f>VLOOKUP(3,$AD$80:$AN$91,3,FALSE)</f>
        <v>0</v>
      </c>
      <c r="M83" s="100">
        <f>VLOOKUP(3,$AD$80:$AN$91,4,FALSE)</f>
        <v>0</v>
      </c>
      <c r="N83" s="100">
        <f>VLOOKUP(3,$AD$80:$AN$91,5,FALSE)</f>
        <v>0</v>
      </c>
      <c r="O83" s="100" t="str">
        <f>VLOOKUP(3,$AD$80:$AN$91,6,FALSE) &amp; " - " &amp; VLOOKUP(3,$AD$80:$AN$91,7,FALSE)</f>
        <v>0 - 0</v>
      </c>
      <c r="P83" s="101">
        <f t="shared" si="48"/>
        <v>0</v>
      </c>
      <c r="AD83" s="123">
        <f t="shared" si="38"/>
        <v>1</v>
      </c>
      <c r="AE83" s="124" t="str">
        <f>J29</f>
        <v>Australia</v>
      </c>
      <c r="AF83" s="123">
        <f t="shared" si="39"/>
        <v>0</v>
      </c>
      <c r="AG83" s="123">
        <f t="shared" si="49"/>
        <v>0</v>
      </c>
      <c r="AH83" s="123">
        <f t="shared" si="40"/>
        <v>0</v>
      </c>
      <c r="AI83" s="123">
        <f t="shared" si="41"/>
        <v>0</v>
      </c>
      <c r="AJ83" s="123">
        <f t="shared" si="42"/>
        <v>0</v>
      </c>
      <c r="AK83" s="123" t="s">
        <v>3184</v>
      </c>
      <c r="AL83" s="123">
        <f t="shared" si="43"/>
        <v>0</v>
      </c>
      <c r="AM83" s="123">
        <f t="shared" si="44"/>
        <v>0</v>
      </c>
      <c r="AN83" s="123">
        <f t="shared" si="45"/>
        <v>0</v>
      </c>
      <c r="AP83" s="123">
        <f>AN83/AN92*10000+AM83/AM92*1000+AI83/AI92*100+IF(AQ83=0,ROW(),AQ83)/2000000</f>
        <v>7.9033500000000008E-4</v>
      </c>
      <c r="AQ83" s="126">
        <f t="shared" si="37"/>
        <v>1580.67</v>
      </c>
      <c r="AR83" s="125" t="str">
        <f t="shared" si="50"/>
        <v>AD</v>
      </c>
      <c r="AS83" s="129" t="str">
        <f t="shared" si="46"/>
        <v>Australia</v>
      </c>
      <c r="AT83" s="130" t="str">
        <f>"Ⓓ "&amp;AE83</f>
        <v>Ⓓ Australia</v>
      </c>
    </row>
    <row r="84" spans="1:46" ht="15" customHeight="1" x14ac:dyDescent="0.2">
      <c r="A84" s="73"/>
      <c r="B84" s="73"/>
      <c r="C84" s="163"/>
      <c r="D84" s="164"/>
      <c r="E84" s="164"/>
      <c r="F84" s="164"/>
      <c r="G84" s="165"/>
      <c r="H84" s="75"/>
      <c r="I84" s="69"/>
      <c r="J84" s="99" t="str">
        <f>VLOOKUP(4,$AD$80:$AT$91,17,FALSE)</f>
        <v>Ⓘ Norway</v>
      </c>
      <c r="K84" s="100">
        <f t="shared" si="47"/>
        <v>0</v>
      </c>
      <c r="L84" s="100">
        <f>VLOOKUP(4,$AD$80:$AN$91,3,FALSE)</f>
        <v>0</v>
      </c>
      <c r="M84" s="100">
        <f>VLOOKUP(4,$AD$80:$AN$91,4,FALSE)</f>
        <v>0</v>
      </c>
      <c r="N84" s="100">
        <f>VLOOKUP(4,$AD$80:$AN$91,5,FALSE)</f>
        <v>0</v>
      </c>
      <c r="O84" s="100" t="str">
        <f>VLOOKUP(4,$AD$80:$AN$91,6,FALSE) &amp; " - " &amp; VLOOKUP(4,$AD$80:$AN$91,7,FALSE)</f>
        <v>0 - 0</v>
      </c>
      <c r="P84" s="101">
        <f t="shared" si="48"/>
        <v>0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6</v>
      </c>
      <c r="AE84" s="124" t="str">
        <f>J35</f>
        <v>Ivory Coast</v>
      </c>
      <c r="AF84" s="123">
        <f t="shared" si="39"/>
        <v>0</v>
      </c>
      <c r="AG84" s="123">
        <f t="shared" si="49"/>
        <v>0</v>
      </c>
      <c r="AH84" s="123">
        <f t="shared" si="40"/>
        <v>0</v>
      </c>
      <c r="AI84" s="123">
        <f t="shared" si="41"/>
        <v>0</v>
      </c>
      <c r="AJ84" s="123">
        <f t="shared" si="42"/>
        <v>0</v>
      </c>
      <c r="AK84" s="123" t="s">
        <v>3185</v>
      </c>
      <c r="AL84" s="123">
        <f t="shared" si="43"/>
        <v>0</v>
      </c>
      <c r="AM84" s="123">
        <f t="shared" si="44"/>
        <v>0</v>
      </c>
      <c r="AN84" s="123">
        <f t="shared" si="45"/>
        <v>0</v>
      </c>
      <c r="AP84" s="123">
        <f>AN84/AN92*10000+AM84/AM92*1000+AI84/AI92*100+IF(AQ84=0,ROW(),AQ84)/2000000</f>
        <v>7.6648999999999999E-4</v>
      </c>
      <c r="AQ84" s="126">
        <f t="shared" si="37"/>
        <v>1532.98</v>
      </c>
      <c r="AR84" s="125" t="str">
        <f t="shared" si="50"/>
        <v>ADE</v>
      </c>
      <c r="AS84" s="129" t="str">
        <f t="shared" si="46"/>
        <v>Ivory Coast</v>
      </c>
      <c r="AT84" s="130" t="str">
        <f>"Ⓔ "&amp;AE84</f>
        <v>Ⓔ Ivory Coast</v>
      </c>
    </row>
    <row r="85" spans="1:46" ht="15" customHeight="1" x14ac:dyDescent="0.2">
      <c r="A85" s="73"/>
      <c r="B85" s="73"/>
      <c r="C85" s="163"/>
      <c r="D85" s="164"/>
      <c r="E85" s="164"/>
      <c r="F85" s="164"/>
      <c r="G85" s="165"/>
      <c r="H85" s="75"/>
      <c r="I85" s="69"/>
      <c r="J85" s="99" t="str">
        <f>VLOOKUP(5,$AD$80:$AT$91,17,FALSE)</f>
        <v>Ⓛ Panama</v>
      </c>
      <c r="K85" s="100">
        <f t="shared" si="47"/>
        <v>0</v>
      </c>
      <c r="L85" s="100">
        <f>VLOOKUP(5,$AD$80:$AN$91,3,FALSE)</f>
        <v>0</v>
      </c>
      <c r="M85" s="100">
        <f>VLOOKUP(5,$AD$80:$AN$91,4,FALSE)</f>
        <v>0</v>
      </c>
      <c r="N85" s="100">
        <f>VLOOKUP(5,$AD$80:$AN$91,5,FALSE)</f>
        <v>0</v>
      </c>
      <c r="O85" s="100" t="str">
        <f>VLOOKUP(5,$AD$80:$AN$91,6,FALSE) &amp; " - " &amp; VLOOKUP(5,$AD$80:$AN$91,7,FALSE)</f>
        <v>0 - 0</v>
      </c>
      <c r="P85" s="101">
        <f t="shared" si="48"/>
        <v>0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7</v>
      </c>
      <c r="AE85" s="124" t="str">
        <f>J41</f>
        <v>Sweden</v>
      </c>
      <c r="AF85" s="123">
        <f t="shared" si="39"/>
        <v>0</v>
      </c>
      <c r="AG85" s="123">
        <f t="shared" si="49"/>
        <v>0</v>
      </c>
      <c r="AH85" s="123">
        <f t="shared" si="40"/>
        <v>0</v>
      </c>
      <c r="AI85" s="123">
        <f t="shared" si="41"/>
        <v>0</v>
      </c>
      <c r="AJ85" s="123">
        <f t="shared" si="42"/>
        <v>0</v>
      </c>
      <c r="AK85" s="123" t="s">
        <v>3186</v>
      </c>
      <c r="AL85" s="123">
        <f t="shared" si="43"/>
        <v>0</v>
      </c>
      <c r="AM85" s="123">
        <f t="shared" si="44"/>
        <v>0</v>
      </c>
      <c r="AN85" s="123">
        <f t="shared" si="45"/>
        <v>0</v>
      </c>
      <c r="AP85" s="123">
        <f>AN85/AN92*10000+AM85/AM92*1000+AI85/AI92*100+IF(AQ85=0,ROW(),AQ85)/2000000</f>
        <v>7.5738499999999996E-4</v>
      </c>
      <c r="AQ85" s="126">
        <f t="shared" si="37"/>
        <v>1514.77</v>
      </c>
      <c r="AR85" s="125" t="str">
        <f t="shared" si="50"/>
        <v>ADEF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">
      <c r="A86" s="73"/>
      <c r="B86" s="73"/>
      <c r="C86" s="163"/>
      <c r="D86" s="164"/>
      <c r="E86" s="164"/>
      <c r="F86" s="164"/>
      <c r="G86" s="165"/>
      <c r="H86" s="75"/>
      <c r="I86" s="69"/>
      <c r="J86" s="99" t="str">
        <f>VLOOKUP(6,$AD$80:$AT$91,17,FALSE)</f>
        <v>Ⓔ Ivory Coast</v>
      </c>
      <c r="K86" s="100">
        <f t="shared" si="47"/>
        <v>0</v>
      </c>
      <c r="L86" s="100">
        <f>VLOOKUP(6,$AD$80:$AN$91,3,FALSE)</f>
        <v>0</v>
      </c>
      <c r="M86" s="100">
        <f>VLOOKUP(6,$AD$80:$AN$91,4,FALSE)</f>
        <v>0</v>
      </c>
      <c r="N86" s="100">
        <f>VLOOKUP(6,$AD$80:$AN$91,5,FALSE)</f>
        <v>0</v>
      </c>
      <c r="O86" s="100" t="str">
        <f>VLOOKUP(6,$AD$80:$AN$91,6,FALSE) &amp; " - " &amp; VLOOKUP(6,$AD$80:$AN$91,7,FALSE)</f>
        <v>0 - 0</v>
      </c>
      <c r="P86" s="101">
        <f t="shared" si="48"/>
        <v>0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3</v>
      </c>
      <c r="AE86" s="124" t="str">
        <f>J47</f>
        <v>Egypt</v>
      </c>
      <c r="AF86" s="123">
        <f t="shared" si="39"/>
        <v>0</v>
      </c>
      <c r="AG86" s="123">
        <f t="shared" si="49"/>
        <v>0</v>
      </c>
      <c r="AH86" s="123">
        <f t="shared" si="40"/>
        <v>0</v>
      </c>
      <c r="AI86" s="123">
        <f t="shared" si="41"/>
        <v>0</v>
      </c>
      <c r="AJ86" s="123">
        <f t="shared" si="42"/>
        <v>0</v>
      </c>
      <c r="AK86" s="123" t="s">
        <v>3187</v>
      </c>
      <c r="AL86" s="123">
        <f t="shared" si="43"/>
        <v>0</v>
      </c>
      <c r="AM86" s="123">
        <f t="shared" si="44"/>
        <v>0</v>
      </c>
      <c r="AN86" s="123">
        <f t="shared" si="45"/>
        <v>0</v>
      </c>
      <c r="AP86" s="123">
        <f>AN86/AN92*10000+AM86/AM92*1000+AI86/AI92*100+IF(AQ86=0,ROW(),AQ86)/2000000</f>
        <v>7.8162000000000001E-4</v>
      </c>
      <c r="AQ86" s="126">
        <f t="shared" si="37"/>
        <v>1563.24</v>
      </c>
      <c r="AR86" s="125" t="str">
        <f t="shared" si="50"/>
        <v>ADEFG</v>
      </c>
      <c r="AS86" s="129" t="str">
        <f t="shared" si="46"/>
        <v>Egypt</v>
      </c>
      <c r="AT86" s="130" t="str">
        <f>"Ⓖ "&amp;AE86</f>
        <v>Ⓖ Egypt</v>
      </c>
    </row>
    <row r="87" spans="1:46" ht="15" customHeight="1" x14ac:dyDescent="0.2">
      <c r="A87" s="73"/>
      <c r="B87" s="73"/>
      <c r="C87" s="163"/>
      <c r="D87" s="164"/>
      <c r="E87" s="164"/>
      <c r="F87" s="164"/>
      <c r="G87" s="165"/>
      <c r="H87" s="75"/>
      <c r="I87" s="69"/>
      <c r="J87" s="99" t="str">
        <f>VLOOKUP(7,$AD$80:$AT$91,17,FALSE)</f>
        <v>Ⓕ Sweden</v>
      </c>
      <c r="K87" s="100">
        <f t="shared" si="47"/>
        <v>0</v>
      </c>
      <c r="L87" s="100">
        <f>VLOOKUP(7,$AD$80:$AN$91,3,FALSE)</f>
        <v>0</v>
      </c>
      <c r="M87" s="100">
        <f>VLOOKUP(7,$AD$80:$AN$91,4,FALSE)</f>
        <v>0</v>
      </c>
      <c r="N87" s="100">
        <f>VLOOKUP(7,$AD$80:$AN$91,5,FALSE)</f>
        <v>0</v>
      </c>
      <c r="O87" s="100" t="str">
        <f>VLOOKUP(7,$AD$80:$AN$91,6,FALSE) &amp; " - " &amp; VLOOKUP(7,$AD$80:$AN$91,7,FALSE)</f>
        <v>0 - 0</v>
      </c>
      <c r="P87" s="101">
        <f t="shared" si="48"/>
        <v>0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12</v>
      </c>
      <c r="AE87" s="124" t="str">
        <f>J53</f>
        <v>Saudi Arabia</v>
      </c>
      <c r="AF87" s="123">
        <f t="shared" si="39"/>
        <v>0</v>
      </c>
      <c r="AG87" s="123">
        <f t="shared" si="49"/>
        <v>0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0</v>
      </c>
      <c r="AN87" s="123">
        <f t="shared" si="45"/>
        <v>0</v>
      </c>
      <c r="AP87" s="123">
        <f>AN87/AN92*10000+AM87/AM92*1000+AI87/AI92*100+IF(AQ87=0,ROW(),AQ87)/2000000</f>
        <v>7.10715E-4</v>
      </c>
      <c r="AQ87" s="126">
        <f t="shared" si="37"/>
        <v>1421.43</v>
      </c>
      <c r="AR87" s="125" t="str">
        <f t="shared" si="50"/>
        <v>ADEFG</v>
      </c>
      <c r="AS87" s="129" t="str">
        <f t="shared" si="46"/>
        <v/>
      </c>
      <c r="AT87" s="130" t="str">
        <f>"Ⓗ "&amp;AE87</f>
        <v>Ⓗ Saudi Arabia</v>
      </c>
    </row>
    <row r="88" spans="1:46" ht="15" customHeight="1" x14ac:dyDescent="0.2">
      <c r="A88" s="73"/>
      <c r="B88" s="73"/>
      <c r="C88" s="166"/>
      <c r="D88" s="167"/>
      <c r="E88" s="167"/>
      <c r="F88" s="167"/>
      <c r="G88" s="168"/>
      <c r="H88" s="75"/>
      <c r="I88" s="69"/>
      <c r="J88" s="99" t="str">
        <f>VLOOKUP(8,$AD$80:$AT$91,17,FALSE)</f>
        <v>Ⓐ Czech Republic</v>
      </c>
      <c r="K88" s="100">
        <f t="shared" si="47"/>
        <v>0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0</v>
      </c>
      <c r="O88" s="100" t="str">
        <f>VLOOKUP(8,$AD$80:$AN$91,6,FALSE) &amp; " - " &amp; VLOOKUP(8,$AD$80:$AN$91,7,FALSE)</f>
        <v>0 - 0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4</v>
      </c>
      <c r="AE88" s="124" t="str">
        <f>J59</f>
        <v>Norway</v>
      </c>
      <c r="AF88" s="123">
        <f t="shared" si="39"/>
        <v>0</v>
      </c>
      <c r="AG88" s="123">
        <f t="shared" si="49"/>
        <v>0</v>
      </c>
      <c r="AH88" s="123">
        <f t="shared" si="40"/>
        <v>0</v>
      </c>
      <c r="AI88" s="123">
        <f t="shared" si="41"/>
        <v>0</v>
      </c>
      <c r="AJ88" s="123">
        <f t="shared" si="42"/>
        <v>0</v>
      </c>
      <c r="AK88" s="123" t="s">
        <v>3189</v>
      </c>
      <c r="AL88" s="123">
        <f t="shared" si="43"/>
        <v>0</v>
      </c>
      <c r="AM88" s="123">
        <f t="shared" si="44"/>
        <v>0</v>
      </c>
      <c r="AN88" s="123">
        <f t="shared" si="45"/>
        <v>0</v>
      </c>
      <c r="AP88" s="123">
        <f>AN88/AN92*10000+AM88/AM92*1000+AI88/AI92*100+IF(AQ88=0,ROW(),AQ88)/2000000</f>
        <v>7.7547E-4</v>
      </c>
      <c r="AQ88" s="126">
        <f t="shared" si="37"/>
        <v>1550.94</v>
      </c>
      <c r="AR88" s="125" t="str">
        <f t="shared" si="50"/>
        <v>ADEFGI</v>
      </c>
      <c r="AS88" s="129" t="str">
        <f t="shared" si="46"/>
        <v>Norway</v>
      </c>
      <c r="AT88" s="130" t="str">
        <f>"Ⓘ "&amp;AE88</f>
        <v>Ⓘ Norway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Ⓒ Scotland</v>
      </c>
      <c r="K89" s="103">
        <f t="shared" si="47"/>
        <v>0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0</v>
      </c>
      <c r="O89" s="103" t="str">
        <f>VLOOKUP(9,$AD$80:$AN$91,6,FALSE) &amp; " - " &amp; VLOOKUP(9,$AD$80:$AN$91,7,FALSE)</f>
        <v>0 - 0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2</v>
      </c>
      <c r="AE89" s="124" t="str">
        <f>J65</f>
        <v>Algeria</v>
      </c>
      <c r="AF89" s="123">
        <f t="shared" si="39"/>
        <v>0</v>
      </c>
      <c r="AG89" s="123">
        <f t="shared" si="49"/>
        <v>0</v>
      </c>
      <c r="AH89" s="123">
        <f t="shared" si="40"/>
        <v>0</v>
      </c>
      <c r="AI89" s="123">
        <f t="shared" si="41"/>
        <v>0</v>
      </c>
      <c r="AJ89" s="123">
        <f t="shared" si="42"/>
        <v>0</v>
      </c>
      <c r="AK89" s="123" t="s">
        <v>3190</v>
      </c>
      <c r="AL89" s="123">
        <f t="shared" si="43"/>
        <v>0</v>
      </c>
      <c r="AM89" s="123">
        <f t="shared" si="44"/>
        <v>0</v>
      </c>
      <c r="AN89" s="123">
        <f t="shared" si="45"/>
        <v>0</v>
      </c>
      <c r="AP89" s="123">
        <f>AN89/AN92*10000+AM89/AM92*1000+AI89/AI92*100+IF(AQ89=0,ROW(),AQ89)/2000000</f>
        <v>7.8213000000000002E-4</v>
      </c>
      <c r="AQ89" s="126">
        <f t="shared" si="37"/>
        <v>1564.26</v>
      </c>
      <c r="AR89" s="125" t="str">
        <f t="shared" si="50"/>
        <v>ADEFGIJ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Ⓚ DR Congo</v>
      </c>
      <c r="K90" s="103">
        <f t="shared" si="47"/>
        <v>0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0</v>
      </c>
      <c r="O90" s="103" t="str">
        <f>VLOOKUP(10,$AD$80:$AN$91,6,FALSE) &amp; " - " &amp; VLOOKUP(10,$AD$80:$AN$91,7,FALSE)</f>
        <v>0 - 0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10</v>
      </c>
      <c r="AE90" s="124" t="str">
        <f>J71</f>
        <v>DR Congo</v>
      </c>
      <c r="AF90" s="123">
        <f t="shared" si="39"/>
        <v>0</v>
      </c>
      <c r="AG90" s="123">
        <f t="shared" si="49"/>
        <v>0</v>
      </c>
      <c r="AH90" s="123">
        <f t="shared" si="40"/>
        <v>0</v>
      </c>
      <c r="AI90" s="123">
        <f t="shared" si="41"/>
        <v>0</v>
      </c>
      <c r="AJ90" s="123">
        <f t="shared" si="42"/>
        <v>0</v>
      </c>
      <c r="AK90" s="123" t="s">
        <v>3191</v>
      </c>
      <c r="AL90" s="123">
        <f t="shared" si="43"/>
        <v>0</v>
      </c>
      <c r="AM90" s="123">
        <f t="shared" si="44"/>
        <v>0</v>
      </c>
      <c r="AN90" s="123">
        <f t="shared" si="45"/>
        <v>0</v>
      </c>
      <c r="AP90" s="123">
        <f>AN90/AN92*10000+AM90/AM92*1000+AI90/AI92*100+IF(AQ90=0,ROW(),AQ90)/2000000</f>
        <v>7.391749999999999E-4</v>
      </c>
      <c r="AQ90" s="126">
        <f t="shared" si="37"/>
        <v>1478.35</v>
      </c>
      <c r="AR90" s="125" t="str">
        <f t="shared" si="50"/>
        <v>ADEFGIJ</v>
      </c>
      <c r="AS90" s="129" t="str">
        <f t="shared" si="46"/>
        <v/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Ⓑ Qatar</v>
      </c>
      <c r="K91" s="103">
        <f t="shared" si="47"/>
        <v>0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0</v>
      </c>
      <c r="O91" s="103" t="str">
        <f>VLOOKUP(11,$AD$80:$AN$91,6,FALSE) &amp; " - " &amp; VLOOKUP(11,$AD$80:$AN$91,7,FALSE)</f>
        <v>0 - 0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5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0</v>
      </c>
      <c r="AI91" s="123">
        <f>VLOOKUP($AE91,$AE$8:$AQ$78,5,FALSE)</f>
        <v>0</v>
      </c>
      <c r="AJ91" s="123">
        <f>VLOOKUP($AE91,$AE$8:$AQ$78,6,FALSE)</f>
        <v>0</v>
      </c>
      <c r="AK91" s="123" t="s">
        <v>3192</v>
      </c>
      <c r="AL91" s="123">
        <f>VLOOKUP($AE91,$AE$8:$AQ$78,8,FALSE)</f>
        <v>0</v>
      </c>
      <c r="AM91" s="123">
        <f t="shared" si="44"/>
        <v>0</v>
      </c>
      <c r="AN91" s="123">
        <f>VLOOKUP($AE91,$AE$8:$AQ$78,10,FALSE)</f>
        <v>0</v>
      </c>
      <c r="AP91" s="123">
        <f>AN91/AN92*10000+AM91/AM92*1000+AI91/AI92*100+IF(AQ91=0,ROW(),AQ91)/2000000</f>
        <v>7.7032000000000001E-4</v>
      </c>
      <c r="AQ91" s="126">
        <f t="shared" si="37"/>
        <v>1540.64</v>
      </c>
      <c r="AR91" s="125" t="str">
        <f t="shared" si="50"/>
        <v>ADEFGIJL</v>
      </c>
      <c r="AS91" s="129" t="str">
        <f t="shared" si="46"/>
        <v>Panama</v>
      </c>
      <c r="AT91" s="130" t="str">
        <f>"Ⓛ "&amp;AE91</f>
        <v>Ⓛ Panama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Ⓗ Saudi Arabia</v>
      </c>
      <c r="K92" s="106">
        <f t="shared" si="47"/>
        <v>0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0</v>
      </c>
      <c r="O92" s="106" t="str">
        <f>VLOOKUP(12,$AD$80:$AN$91,6,FALSE) &amp; " - " &amp; VLOOKUP(12,$AD$80:$AN$91,7,FALSE)</f>
        <v>0 - 0</v>
      </c>
      <c r="P92" s="107">
        <f t="shared" si="48"/>
        <v>0</v>
      </c>
      <c r="AF92" s="123">
        <f>MAX(AF80:AF91)+1</f>
        <v>1</v>
      </c>
      <c r="AG92" s="123">
        <f>MAX(AG80:AG91)+1</f>
        <v>1</v>
      </c>
      <c r="AH92" s="123">
        <f>MAX(AH80:AH91)+1</f>
        <v>1</v>
      </c>
      <c r="AI92" s="123">
        <f>MAX(AI80:AI91)+1</f>
        <v>1</v>
      </c>
      <c r="AJ92" s="123">
        <f>MAX(AJ80:AJ91)+1</f>
        <v>1</v>
      </c>
      <c r="AL92" s="123">
        <f>MIN(AL80:AL91)</f>
        <v>0</v>
      </c>
      <c r="AM92" s="123">
        <f>MAX(AM80:AM91)+1</f>
        <v>1</v>
      </c>
      <c r="AN92" s="123">
        <f>MAX(AN80:AN91)+1</f>
        <v>1</v>
      </c>
      <c r="AS92" s="126" t="b">
        <f>SUM(K9:K78)=144</f>
        <v>0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dataConsolidate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D3A85-1728-F445-9CD8-86C92B611A31}">
  <dimension ref="A1:A48"/>
  <sheetViews>
    <sheetView workbookViewId="0">
      <selection activeCell="C14" sqref="C14"/>
    </sheetView>
  </sheetViews>
  <sheetFormatPr baseColWidth="10" defaultRowHeight="15" x14ac:dyDescent="0.2"/>
  <sheetData>
    <row r="1" spans="1:1" x14ac:dyDescent="0.2">
      <c r="A1" t="s">
        <v>2426</v>
      </c>
    </row>
    <row r="2" spans="1:1" x14ac:dyDescent="0.2">
      <c r="A2" t="s">
        <v>1264</v>
      </c>
    </row>
    <row r="3" spans="1:1" x14ac:dyDescent="0.2">
      <c r="A3" t="s">
        <v>1419</v>
      </c>
    </row>
    <row r="4" spans="1:1" x14ac:dyDescent="0.2">
      <c r="A4" t="s">
        <v>2458</v>
      </c>
    </row>
    <row r="5" spans="1:1" x14ac:dyDescent="0.2">
      <c r="A5" t="s">
        <v>1633</v>
      </c>
    </row>
    <row r="6" spans="1:1" x14ac:dyDescent="0.2">
      <c r="A6" t="s">
        <v>1995</v>
      </c>
    </row>
    <row r="7" spans="1:1" x14ac:dyDescent="0.2">
      <c r="A7" t="s">
        <v>1739</v>
      </c>
    </row>
    <row r="8" spans="1:1" x14ac:dyDescent="0.2">
      <c r="A8" t="s">
        <v>1662</v>
      </c>
    </row>
    <row r="9" spans="1:1" x14ac:dyDescent="0.2">
      <c r="A9" t="s">
        <v>2340</v>
      </c>
    </row>
    <row r="10" spans="1:1" x14ac:dyDescent="0.2">
      <c r="A10" t="s">
        <v>2573</v>
      </c>
    </row>
    <row r="11" spans="1:1" x14ac:dyDescent="0.2">
      <c r="A11" t="s">
        <v>1703</v>
      </c>
    </row>
    <row r="12" spans="1:1" x14ac:dyDescent="0.2">
      <c r="A12" t="s">
        <v>2183</v>
      </c>
    </row>
    <row r="13" spans="1:1" x14ac:dyDescent="0.2">
      <c r="A13" t="s">
        <v>2033</v>
      </c>
    </row>
    <row r="14" spans="1:1" x14ac:dyDescent="0.2">
      <c r="A14" t="s">
        <v>2524</v>
      </c>
    </row>
    <row r="15" spans="1:1" x14ac:dyDescent="0.2">
      <c r="A15" t="s">
        <v>1093</v>
      </c>
    </row>
    <row r="16" spans="1:1" x14ac:dyDescent="0.2">
      <c r="A16" t="s">
        <v>2274</v>
      </c>
    </row>
    <row r="17" spans="1:1" x14ac:dyDescent="0.2">
      <c r="A17" t="s">
        <v>1148</v>
      </c>
    </row>
    <row r="18" spans="1:1" x14ac:dyDescent="0.2">
      <c r="A18" t="s">
        <v>1384</v>
      </c>
    </row>
    <row r="19" spans="1:1" x14ac:dyDescent="0.2">
      <c r="A19" t="s">
        <v>1565</v>
      </c>
    </row>
    <row r="20" spans="1:1" x14ac:dyDescent="0.2">
      <c r="A20" t="s">
        <v>1883</v>
      </c>
    </row>
    <row r="21" spans="1:1" x14ac:dyDescent="0.2">
      <c r="A21" t="s">
        <v>2072</v>
      </c>
    </row>
    <row r="22" spans="1:1" x14ac:dyDescent="0.2">
      <c r="A22" t="s">
        <v>1180</v>
      </c>
    </row>
    <row r="23" spans="1:1" x14ac:dyDescent="0.2">
      <c r="A23" t="s">
        <v>2375</v>
      </c>
    </row>
    <row r="24" spans="1:1" x14ac:dyDescent="0.2">
      <c r="A24" t="s">
        <v>2201</v>
      </c>
    </row>
    <row r="25" spans="1:1" x14ac:dyDescent="0.2">
      <c r="A25" t="s">
        <v>1604</v>
      </c>
    </row>
    <row r="26" spans="1:1" x14ac:dyDescent="0.2">
      <c r="A26" t="s">
        <v>2493</v>
      </c>
    </row>
    <row r="27" spans="1:1" x14ac:dyDescent="0.2">
      <c r="A27" t="s">
        <v>1920</v>
      </c>
    </row>
    <row r="28" spans="1:1" x14ac:dyDescent="0.2">
      <c r="A28" t="s">
        <v>1323</v>
      </c>
    </row>
    <row r="29" spans="1:1" x14ac:dyDescent="0.2">
      <c r="A29" t="s">
        <v>1677</v>
      </c>
    </row>
    <row r="30" spans="1:1" x14ac:dyDescent="0.2">
      <c r="A30" t="s">
        <v>1113</v>
      </c>
    </row>
    <row r="31" spans="1:1" x14ac:dyDescent="0.2">
      <c r="A31" t="s">
        <v>2304</v>
      </c>
    </row>
    <row r="32" spans="1:1" x14ac:dyDescent="0.2">
      <c r="A32" t="s">
        <v>2395</v>
      </c>
    </row>
    <row r="33" spans="1:1" x14ac:dyDescent="0.2">
      <c r="A33" t="s">
        <v>2600</v>
      </c>
    </row>
    <row r="34" spans="1:1" x14ac:dyDescent="0.2">
      <c r="A34" t="s">
        <v>2126</v>
      </c>
    </row>
    <row r="35" spans="1:1" x14ac:dyDescent="0.2">
      <c r="A35" t="s">
        <v>1858</v>
      </c>
    </row>
    <row r="36" spans="1:1" x14ac:dyDescent="0.2">
      <c r="A36" t="s">
        <v>1077</v>
      </c>
    </row>
    <row r="37" spans="1:1" x14ac:dyDescent="0.2">
      <c r="A37" t="s">
        <v>1285</v>
      </c>
    </row>
    <row r="38" spans="1:1" x14ac:dyDescent="0.2">
      <c r="A38" t="s">
        <v>2090</v>
      </c>
    </row>
    <row r="39" spans="1:1" x14ac:dyDescent="0.2">
      <c r="A39" t="s">
        <v>1058</v>
      </c>
    </row>
    <row r="40" spans="1:1" x14ac:dyDescent="0.2">
      <c r="A40" t="s">
        <v>1958</v>
      </c>
    </row>
    <row r="41" spans="1:1" x14ac:dyDescent="0.2">
      <c r="A41" t="s">
        <v>1508</v>
      </c>
    </row>
    <row r="42" spans="1:1" x14ac:dyDescent="0.2">
      <c r="A42" t="s">
        <v>2240</v>
      </c>
    </row>
    <row r="43" spans="1:1" x14ac:dyDescent="0.2">
      <c r="A43" t="s">
        <v>1798</v>
      </c>
    </row>
    <row r="44" spans="1:1" x14ac:dyDescent="0.2">
      <c r="A44" t="s">
        <v>1479</v>
      </c>
    </row>
    <row r="45" spans="1:1" x14ac:dyDescent="0.2">
      <c r="A45" t="s">
        <v>2146</v>
      </c>
    </row>
    <row r="46" spans="1:1" x14ac:dyDescent="0.2">
      <c r="A46" t="s">
        <v>1198</v>
      </c>
    </row>
    <row r="47" spans="1:1" x14ac:dyDescent="0.2">
      <c r="A47" t="s">
        <v>1900</v>
      </c>
    </row>
    <row r="48" spans="1:1" x14ac:dyDescent="0.2">
      <c r="A48" t="s">
        <v>2549</v>
      </c>
    </row>
  </sheetData>
  <sheetProtection sheet="1" objects="1" scenarios="1" selectLockedCells="1"/>
  <sortState xmlns:xlrd2="http://schemas.microsoft.com/office/spreadsheetml/2017/richdata2" ref="A1:A48">
    <sortCondition ref="A1:A4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194</v>
      </c>
      <c r="C3" s="121" t="str">
        <f>'2026 World Cup'!AR91</f>
        <v>ADEFGIJL</v>
      </c>
      <c r="D3" s="121" t="str">
        <f>VLOOKUP($C3,$C$6:$K$500,2,FALSE)</f>
        <v>3E</v>
      </c>
      <c r="E3" s="121" t="str">
        <f>VLOOKUP($C3,$C$6:$K$500,3,FALSE)</f>
        <v>3G</v>
      </c>
      <c r="F3" s="121" t="str">
        <f>VLOOKUP($C3,$C$6:$K$500,4,FALSE)</f>
        <v>3J</v>
      </c>
      <c r="G3" s="121" t="str">
        <f>VLOOKUP($C3,$C$6:$K$500,5,FALSE)</f>
        <v>3D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3I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8</vt:i4>
      </vt:variant>
    </vt:vector>
  </HeadingPairs>
  <TitlesOfParts>
    <vt:vector size="15" baseType="lpstr">
      <vt:lpstr>T</vt:lpstr>
      <vt:lpstr>Survivor</vt:lpstr>
      <vt:lpstr>Rounds</vt:lpstr>
      <vt:lpstr>2026 World Cup</vt:lpstr>
      <vt:lpstr>AllTeams</vt:lpstr>
      <vt:lpstr>3rd places</vt:lpstr>
      <vt:lpstr>Settings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Rylan Paul</cp:lastModifiedBy>
  <cp:revision/>
  <dcterms:created xsi:type="dcterms:W3CDTF">2017-12-27T19:32:51Z</dcterms:created>
  <dcterms:modified xsi:type="dcterms:W3CDTF">2026-06-08T02:28:29Z</dcterms:modified>
  <cp:category>Sports</cp:category>
  <cp:contentStatus/>
</cp:coreProperties>
</file>