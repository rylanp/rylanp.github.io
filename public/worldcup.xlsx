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lanpaul/Downloads/"/>
    </mc:Choice>
  </mc:AlternateContent>
  <xr:revisionPtr revIDLastSave="0" documentId="13_ncr:1_{58F04A70-91A6-6A44-B439-C7F671E73D71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T" sheetId="1" state="hidden" r:id="rId1"/>
    <sheet name="Survivor" sheetId="5" r:id="rId2"/>
    <sheet name="Rounds" sheetId="6" r:id="rId3"/>
    <sheet name="2026 World Cup" sheetId="3" r:id="rId4"/>
    <sheet name="AllTeams" sheetId="7" r:id="rId5"/>
    <sheet name="3rd places" sheetId="4" r:id="rId6"/>
    <sheet name="Settings" sheetId="2" r:id="rId7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6" l="1"/>
  <c r="N12" i="6"/>
  <c r="AE2" i="6"/>
  <c r="AD2" i="6"/>
  <c r="AA3" i="6"/>
  <c r="AA2" i="6"/>
  <c r="Z2" i="6"/>
  <c r="Z3" i="6"/>
  <c r="W5" i="6"/>
  <c r="W4" i="6"/>
  <c r="W3" i="6"/>
  <c r="W2" i="6"/>
  <c r="V5" i="6"/>
  <c r="V4" i="6"/>
  <c r="V3" i="6"/>
  <c r="V2" i="6"/>
  <c r="S9" i="6"/>
  <c r="S8" i="6"/>
  <c r="S7" i="6"/>
  <c r="S6" i="6"/>
  <c r="S5" i="6"/>
  <c r="S4" i="6"/>
  <c r="S3" i="6"/>
  <c r="S2" i="6"/>
  <c r="R8" i="6"/>
  <c r="R7" i="6"/>
  <c r="R6" i="6"/>
  <c r="R5" i="6"/>
  <c r="R4" i="6"/>
  <c r="R3" i="6"/>
  <c r="R9" i="6"/>
  <c r="R2" i="6"/>
  <c r="O17" i="6"/>
  <c r="O16" i="6"/>
  <c r="O15" i="6"/>
  <c r="O14" i="6"/>
  <c r="O13" i="6"/>
  <c r="O11" i="6"/>
  <c r="O10" i="6"/>
  <c r="O9" i="6"/>
  <c r="O8" i="6"/>
  <c r="O7" i="6"/>
  <c r="O6" i="6"/>
  <c r="O5" i="6"/>
  <c r="O4" i="6"/>
  <c r="O3" i="6"/>
  <c r="N15" i="6"/>
  <c r="N14" i="6"/>
  <c r="N13" i="6"/>
  <c r="N11" i="6"/>
  <c r="N10" i="6"/>
  <c r="N9" i="6"/>
  <c r="N8" i="6"/>
  <c r="N7" i="6"/>
  <c r="N6" i="6"/>
  <c r="N5" i="6"/>
  <c r="N4" i="6"/>
  <c r="N3" i="6"/>
  <c r="N16" i="6"/>
  <c r="N17" i="6"/>
  <c r="O2" i="6"/>
  <c r="N2" i="6"/>
  <c r="I2" i="6" a="1"/>
  <c r="I2" i="6" s="1"/>
  <c r="M8" i="5" s="1"/>
  <c r="E2" i="6" a="1"/>
  <c r="E2" i="6" s="1"/>
  <c r="I6" i="5" s="1"/>
  <c r="A2" i="6" a="1"/>
  <c r="A2" i="6" s="1"/>
  <c r="C5" i="5" s="1"/>
  <c r="BP10" i="3"/>
  <c r="BP11" i="3" s="1"/>
  <c r="CE68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M5" i="5" l="1"/>
  <c r="K6" i="5"/>
  <c r="L6" i="5"/>
  <c r="M4" i="5"/>
  <c r="L5" i="5"/>
  <c r="M6" i="5"/>
  <c r="K7" i="5"/>
  <c r="L7" i="5"/>
  <c r="K3" i="5"/>
  <c r="L3" i="5"/>
  <c r="M3" i="5"/>
  <c r="M7" i="5"/>
  <c r="L4" i="5"/>
  <c r="K5" i="5"/>
  <c r="K4" i="5"/>
  <c r="K8" i="5"/>
  <c r="L8" i="5"/>
  <c r="G3" i="5"/>
  <c r="G7" i="5"/>
  <c r="H3" i="5"/>
  <c r="H7" i="5"/>
  <c r="I3" i="5"/>
  <c r="I7" i="5"/>
  <c r="G8" i="5"/>
  <c r="G4" i="5"/>
  <c r="H4" i="5"/>
  <c r="H8" i="5"/>
  <c r="I8" i="5"/>
  <c r="G5" i="5"/>
  <c r="H5" i="5"/>
  <c r="I5" i="5"/>
  <c r="G6" i="5"/>
  <c r="I4" i="5"/>
  <c r="H6" i="5"/>
  <c r="C7" i="5"/>
  <c r="D5" i="5"/>
  <c r="E4" i="5"/>
  <c r="D8" i="5"/>
  <c r="D4" i="5"/>
  <c r="E7" i="5"/>
  <c r="E6" i="5"/>
  <c r="D6" i="5"/>
  <c r="C3" i="5"/>
  <c r="E8" i="5"/>
  <c r="C8" i="5"/>
  <c r="C4" i="5"/>
  <c r="D7" i="5"/>
  <c r="C6" i="5"/>
  <c r="E5" i="5"/>
  <c r="D3" i="5"/>
  <c r="E3" i="5"/>
  <c r="CR38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BK41" i="3" s="1" a="1"/>
  <c r="BK41" i="3" s="1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AA53" i="3" s="1"/>
  <c r="E29" i="3"/>
  <c r="H59" i="3"/>
  <c r="E34" i="3"/>
  <c r="E7" i="3"/>
  <c r="E60" i="3"/>
  <c r="AA60" i="3" s="1"/>
  <c r="H31" i="3"/>
  <c r="H7" i="3"/>
  <c r="H57" i="3"/>
  <c r="E33" i="3"/>
  <c r="E9" i="3"/>
  <c r="H60" i="3"/>
  <c r="H34" i="3"/>
  <c r="E8" i="3"/>
  <c r="H58" i="3"/>
  <c r="H33" i="3"/>
  <c r="E14" i="3"/>
  <c r="AA14" i="3" s="1"/>
  <c r="E57" i="3"/>
  <c r="AA57" i="3" s="1"/>
  <c r="E32" i="3"/>
  <c r="AA32" i="3" s="1"/>
  <c r="H14" i="3"/>
  <c r="H55" i="3"/>
  <c r="E13" i="3"/>
  <c r="E56" i="3"/>
  <c r="H13" i="3"/>
  <c r="H56" i="3"/>
  <c r="E11" i="3"/>
  <c r="E55" i="3"/>
  <c r="H11" i="3"/>
  <c r="H65" i="3"/>
  <c r="E37" i="3"/>
  <c r="AA37" i="3" s="1"/>
  <c r="E10" i="3"/>
  <c r="AA10" i="3" s="1"/>
  <c r="E66" i="3"/>
  <c r="H38" i="3"/>
  <c r="H10" i="3"/>
  <c r="H66" i="3"/>
  <c r="H37" i="3"/>
  <c r="E65" i="3"/>
  <c r="E38" i="3"/>
  <c r="H62" i="3"/>
  <c r="E39" i="3"/>
  <c r="AA39" i="3" s="1"/>
  <c r="E16" i="3"/>
  <c r="AA16" i="3" s="1"/>
  <c r="E61" i="3"/>
  <c r="AA61" i="3" s="1"/>
  <c r="H40" i="3"/>
  <c r="H16" i="3"/>
  <c r="H61" i="3"/>
  <c r="H39" i="3"/>
  <c r="E15" i="3"/>
  <c r="E62" i="3"/>
  <c r="E40" i="3"/>
  <c r="H15" i="3"/>
  <c r="H64" i="3"/>
  <c r="E41" i="3"/>
  <c r="AA41" i="3" s="1"/>
  <c r="E17" i="3"/>
  <c r="AA17" i="3" s="1"/>
  <c r="E63" i="3"/>
  <c r="AA63" i="3" s="1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AA21" i="3" s="1"/>
  <c r="E70" i="3"/>
  <c r="E46" i="3"/>
  <c r="AA46" i="3" s="1"/>
  <c r="H21" i="3"/>
  <c r="H72" i="3"/>
  <c r="E44" i="3"/>
  <c r="E20" i="3"/>
  <c r="H71" i="3"/>
  <c r="H44" i="3"/>
  <c r="E19" i="3"/>
  <c r="E72" i="3"/>
  <c r="AA72" i="3" s="1"/>
  <c r="E43" i="3"/>
  <c r="AA43" i="3" s="1"/>
  <c r="H19" i="3"/>
  <c r="H67" i="3"/>
  <c r="E48" i="3"/>
  <c r="E23" i="3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AA25" i="3" s="1"/>
  <c r="E75" i="3"/>
  <c r="H50" i="3"/>
  <c r="H25" i="3"/>
  <c r="H75" i="3"/>
  <c r="H49" i="3"/>
  <c r="E26" i="3"/>
  <c r="E76" i="3"/>
  <c r="E50" i="3"/>
  <c r="AA50" i="3" s="1"/>
  <c r="H26" i="3"/>
  <c r="E78" i="3"/>
  <c r="AA78" i="3" s="1"/>
  <c r="H54" i="3"/>
  <c r="H29" i="3"/>
  <c r="H78" i="3"/>
  <c r="H53" i="3"/>
  <c r="E30" i="3"/>
  <c r="E77" i="3"/>
  <c r="E54" i="3"/>
  <c r="H30" i="3"/>
  <c r="H73" i="3"/>
  <c r="E51" i="3"/>
  <c r="AA51" i="3" s="1"/>
  <c r="E28" i="3"/>
  <c r="E74" i="3"/>
  <c r="AA74" i="3" s="1"/>
  <c r="H52" i="3"/>
  <c r="H28" i="3"/>
  <c r="H74" i="3"/>
  <c r="H51" i="3"/>
  <c r="E27" i="3"/>
  <c r="E73" i="3"/>
  <c r="E52" i="3"/>
  <c r="H27" i="3"/>
  <c r="E71" i="3"/>
  <c r="AA71" i="3" s="1"/>
  <c r="H43" i="3"/>
  <c r="H20" i="3"/>
  <c r="E59" i="3"/>
  <c r="AA59" i="3" s="1"/>
  <c r="E31" i="3"/>
  <c r="E58" i="3"/>
  <c r="AA58" i="3" s="1"/>
  <c r="H32" i="3"/>
  <c r="E69" i="3"/>
  <c r="H46" i="3"/>
  <c r="H68" i="3"/>
  <c r="H48" i="3"/>
  <c r="E24" i="3"/>
  <c r="E12" i="3"/>
  <c r="H8" i="3"/>
  <c r="H22" i="3"/>
  <c r="H12" i="3"/>
  <c r="E22" i="3"/>
  <c r="AA22" i="3" s="1"/>
  <c r="H9" i="3"/>
  <c r="D7" i="3"/>
  <c r="AA28" i="3" l="1"/>
  <c r="AA19" i="3"/>
  <c r="AA45" i="3"/>
  <c r="AA34" i="3"/>
  <c r="AA31" i="3"/>
  <c r="AA7" i="3"/>
  <c r="AA12" i="3"/>
  <c r="AA76" i="3"/>
  <c r="AA38" i="3"/>
  <c r="AA11" i="3"/>
  <c r="AA8" i="3"/>
  <c r="AA29" i="3"/>
  <c r="AA20" i="3"/>
  <c r="AA44" i="3"/>
  <c r="AA42" i="3"/>
  <c r="AA54" i="3"/>
  <c r="AA64" i="3"/>
  <c r="AA73" i="3"/>
  <c r="AA77" i="3"/>
  <c r="AA68" i="3"/>
  <c r="AA18" i="3"/>
  <c r="AA15" i="3"/>
  <c r="AA56" i="3"/>
  <c r="AA9" i="3"/>
  <c r="AA36" i="3"/>
  <c r="AA24" i="3"/>
  <c r="AA62" i="3"/>
  <c r="AA27" i="3"/>
  <c r="AA30" i="3"/>
  <c r="AA23" i="3"/>
  <c r="AA13" i="3"/>
  <c r="AA33" i="3"/>
  <c r="AA55" i="3"/>
  <c r="AA26" i="3"/>
  <c r="AA65" i="3"/>
  <c r="AA40" i="3"/>
  <c r="AA52" i="3"/>
  <c r="AA69" i="3"/>
  <c r="AA48" i="3"/>
  <c r="AA75" i="3"/>
  <c r="AA70" i="3"/>
  <c r="AA66" i="3"/>
  <c r="AA35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T66" i="3"/>
  <c r="S55" i="3"/>
  <c r="T56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69" i="3"/>
  <c r="AP69" i="3" s="1"/>
  <c r="BI20" i="3"/>
  <c r="AP20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34" i="3"/>
  <c r="AR10" i="3" l="1"/>
  <c r="AR71" i="3"/>
  <c r="AR33" i="3"/>
  <c r="AR9" i="3"/>
  <c r="AR35" i="3"/>
  <c r="AD35" i="3" s="1"/>
  <c r="AR11" i="3"/>
  <c r="AD9" i="3" s="1"/>
  <c r="AD58" i="3"/>
  <c r="AR29" i="3"/>
  <c r="AR27" i="3"/>
  <c r="AR28" i="3"/>
  <c r="AD29" i="3" s="1"/>
  <c r="AR75" i="3"/>
  <c r="AR21" i="3"/>
  <c r="AR76" i="3"/>
  <c r="AR69" i="3"/>
  <c r="AR70" i="3"/>
  <c r="AR22" i="3"/>
  <c r="AR77" i="3"/>
  <c r="AR65" i="3"/>
  <c r="AR40" i="3"/>
  <c r="AR4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3" i="3"/>
  <c r="AD34" i="3" l="1"/>
  <c r="AD32" i="3"/>
  <c r="AD10" i="3"/>
  <c r="AD11" i="3"/>
  <c r="AD8" i="3"/>
  <c r="O9" i="3" s="1"/>
  <c r="AD27" i="3"/>
  <c r="AD26" i="3"/>
  <c r="AD75" i="3"/>
  <c r="AD28" i="3"/>
  <c r="L58" i="3"/>
  <c r="AD22" i="3"/>
  <c r="AD41" i="3"/>
  <c r="AD69" i="3"/>
  <c r="AD71" i="3"/>
  <c r="L59" i="3"/>
  <c r="O60" i="3"/>
  <c r="N58" i="3"/>
  <c r="AD70" i="3"/>
  <c r="AD68" i="3"/>
  <c r="AD77" i="3"/>
  <c r="AD15" i="3"/>
  <c r="AD76" i="3"/>
  <c r="AD74" i="3"/>
  <c r="M58" i="3"/>
  <c r="AD53" i="3"/>
  <c r="AD21" i="3"/>
  <c r="AD20" i="3"/>
  <c r="AD44" i="3"/>
  <c r="AD39" i="3"/>
  <c r="M59" i="3"/>
  <c r="AD63" i="3"/>
  <c r="AD47" i="3"/>
  <c r="AD14" i="3"/>
  <c r="AD62" i="3"/>
  <c r="L57" i="3"/>
  <c r="AD64" i="3"/>
  <c r="AD16" i="3"/>
  <c r="L60" i="3"/>
  <c r="J57" i="3"/>
  <c r="AS56" i="3" s="1"/>
  <c r="BL14" i="3" s="1"/>
  <c r="M3" i="6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J36" i="3"/>
  <c r="J34" i="3"/>
  <c r="AS33" i="3" s="1"/>
  <c r="BL46" i="3" s="1"/>
  <c r="M11" i="6" s="1"/>
  <c r="J33" i="3"/>
  <c r="AS32" i="3" s="1"/>
  <c r="BL10" i="3" s="1"/>
  <c r="M2" i="6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35" i="3" l="1"/>
  <c r="AE84" i="3" s="1"/>
  <c r="AQ84" i="3" s="1"/>
  <c r="M10" i="3"/>
  <c r="J12" i="3"/>
  <c r="L11" i="3"/>
  <c r="J10" i="3"/>
  <c r="AS9" i="3" s="1"/>
  <c r="BL18" i="3" s="1"/>
  <c r="M4" i="6" s="1"/>
  <c r="M12" i="3"/>
  <c r="N12" i="3"/>
  <c r="J9" i="3"/>
  <c r="AS8" i="3" s="1"/>
  <c r="BL50" i="3" s="1"/>
  <c r="M12" i="6" s="1"/>
  <c r="M11" i="3"/>
  <c r="L12" i="3"/>
  <c r="P12" i="3" s="1"/>
  <c r="N11" i="3"/>
  <c r="M9" i="3"/>
  <c r="K9" i="3" s="1"/>
  <c r="N10" i="3"/>
  <c r="L9" i="3"/>
  <c r="L10" i="3"/>
  <c r="N9" i="3"/>
  <c r="O11" i="3"/>
  <c r="O10" i="3"/>
  <c r="O12" i="3"/>
  <c r="J11" i="3"/>
  <c r="AE80" i="3" s="1"/>
  <c r="AQ80" i="3" s="1"/>
  <c r="L28" i="3"/>
  <c r="O29" i="3"/>
  <c r="N29" i="3"/>
  <c r="N27" i="3"/>
  <c r="L30" i="3"/>
  <c r="O30" i="3"/>
  <c r="J27" i="3"/>
  <c r="AS26" i="3" s="1"/>
  <c r="BL34" i="3" s="1"/>
  <c r="M8" i="6" s="1"/>
  <c r="L29" i="3"/>
  <c r="N30" i="3"/>
  <c r="M27" i="3"/>
  <c r="N28" i="3"/>
  <c r="M29" i="3"/>
  <c r="O27" i="3"/>
  <c r="M28" i="3"/>
  <c r="J28" i="3"/>
  <c r="AS27" i="3" s="1"/>
  <c r="BL62" i="3" s="1"/>
  <c r="M15" i="6" s="1"/>
  <c r="M30" i="3"/>
  <c r="J29" i="3"/>
  <c r="AE83" i="3" s="1"/>
  <c r="AQ83" i="3" s="1"/>
  <c r="L27" i="3"/>
  <c r="O28" i="3"/>
  <c r="J30" i="3"/>
  <c r="N69" i="3"/>
  <c r="P59" i="3"/>
  <c r="S90" i="3"/>
  <c r="T90" i="3" s="1" a="1"/>
  <c r="T90" i="3" s="1"/>
  <c r="BS36" i="3"/>
  <c r="K58" i="3"/>
  <c r="BS45" i="3"/>
  <c r="P11" i="6"/>
  <c r="L39" i="3"/>
  <c r="J45" i="3"/>
  <c r="AS44" i="3" s="1"/>
  <c r="BL38" i="3" s="1"/>
  <c r="J53" i="3"/>
  <c r="AE87" i="3" s="1"/>
  <c r="AQ87" i="3" s="1"/>
  <c r="M51" i="3"/>
  <c r="L16" i="3"/>
  <c r="M45" i="3"/>
  <c r="J21" i="3"/>
  <c r="AS20" i="3" s="1"/>
  <c r="BL42" i="3" s="1"/>
  <c r="N63" i="3"/>
  <c r="L72" i="3"/>
  <c r="O71" i="3"/>
  <c r="N71" i="3"/>
  <c r="M71" i="3"/>
  <c r="M69" i="3"/>
  <c r="O16" i="3"/>
  <c r="L69" i="3"/>
  <c r="N16" i="3"/>
  <c r="M18" i="3"/>
  <c r="P58" i="3"/>
  <c r="J78" i="3"/>
  <c r="M72" i="3"/>
  <c r="J18" i="3"/>
  <c r="J24" i="3"/>
  <c r="O63" i="3"/>
  <c r="M76" i="3"/>
  <c r="N77" i="3"/>
  <c r="O75" i="3"/>
  <c r="L40" i="3"/>
  <c r="O70" i="3"/>
  <c r="J77" i="3"/>
  <c r="AE91" i="3" s="1"/>
  <c r="AQ91" i="3" s="1"/>
  <c r="O77" i="3"/>
  <c r="J69" i="3"/>
  <c r="AS68" i="3" s="1"/>
  <c r="BL70" i="3" s="1"/>
  <c r="M17" i="6" s="1"/>
  <c r="O78" i="3"/>
  <c r="N70" i="3"/>
  <c r="L70" i="3"/>
  <c r="N76" i="3"/>
  <c r="J75" i="3"/>
  <c r="AS74" i="3" s="1"/>
  <c r="BL54" i="3" s="1"/>
  <c r="M13" i="6" s="1"/>
  <c r="J76" i="3"/>
  <c r="AS75" i="3" s="1"/>
  <c r="BL27" i="3" s="1"/>
  <c r="P6" i="6" s="1"/>
  <c r="J71" i="3"/>
  <c r="AE90" i="3" s="1"/>
  <c r="AQ90" i="3" s="1"/>
  <c r="M70" i="3"/>
  <c r="J72" i="3"/>
  <c r="M75" i="3"/>
  <c r="N75" i="3"/>
  <c r="L77" i="3"/>
  <c r="L71" i="3"/>
  <c r="J70" i="3"/>
  <c r="AS69" i="3" s="1"/>
  <c r="BL26" i="3" s="1"/>
  <c r="L78" i="3"/>
  <c r="M78" i="3"/>
  <c r="N78" i="3"/>
  <c r="O72" i="3"/>
  <c r="O69" i="3"/>
  <c r="L76" i="3"/>
  <c r="N72" i="3"/>
  <c r="O22" i="3"/>
  <c r="N21" i="3"/>
  <c r="L64" i="3"/>
  <c r="M21" i="3"/>
  <c r="O24" i="3"/>
  <c r="L22" i="3"/>
  <c r="O76" i="3"/>
  <c r="L75" i="3"/>
  <c r="O21" i="3"/>
  <c r="N24" i="3"/>
  <c r="O40" i="3"/>
  <c r="J22" i="3"/>
  <c r="AS21" i="3" s="1"/>
  <c r="BL23" i="3" s="1"/>
  <c r="P5" i="6" s="1"/>
  <c r="AL88" i="3"/>
  <c r="M40" i="3"/>
  <c r="J65" i="3"/>
  <c r="AE89" i="3" s="1"/>
  <c r="AQ89" i="3" s="1"/>
  <c r="O45" i="3"/>
  <c r="N66" i="3"/>
  <c r="L24" i="3"/>
  <c r="J66" i="3"/>
  <c r="AI88" i="3"/>
  <c r="N15" i="3"/>
  <c r="L45" i="3"/>
  <c r="K59" i="3"/>
  <c r="O23" i="3"/>
  <c r="M22" i="3"/>
  <c r="L23" i="3"/>
  <c r="N64" i="3"/>
  <c r="N52" i="3"/>
  <c r="N45" i="3"/>
  <c r="M77" i="3"/>
  <c r="O48" i="3"/>
  <c r="N22" i="3"/>
  <c r="L21" i="3"/>
  <c r="N41" i="3"/>
  <c r="M24" i="3"/>
  <c r="N23" i="3"/>
  <c r="M64" i="3"/>
  <c r="L53" i="3"/>
  <c r="M54" i="3"/>
  <c r="L15" i="3"/>
  <c r="M23" i="3"/>
  <c r="J23" i="3"/>
  <c r="AE82" i="3" s="1"/>
  <c r="AQ82" i="3" s="1"/>
  <c r="N17" i="3"/>
  <c r="J51" i="3"/>
  <c r="AS50" i="3" s="1"/>
  <c r="BL30" i="3" s="1"/>
  <c r="O65" i="3"/>
  <c r="J39" i="3"/>
  <c r="AS38" i="3" s="1"/>
  <c r="BL22" i="3" s="1"/>
  <c r="L17" i="3"/>
  <c r="M41" i="3"/>
  <c r="M66" i="3"/>
  <c r="M63" i="3"/>
  <c r="L41" i="3"/>
  <c r="L54" i="3"/>
  <c r="N53" i="3"/>
  <c r="M42" i="3"/>
  <c r="J40" i="3"/>
  <c r="AS39" i="3" s="1"/>
  <c r="BL43" i="3" s="1"/>
  <c r="P10" i="6" s="1"/>
  <c r="L18" i="3"/>
  <c r="O17" i="3"/>
  <c r="J48" i="3"/>
  <c r="O66" i="3"/>
  <c r="O53" i="3"/>
  <c r="O52" i="3"/>
  <c r="N18" i="3"/>
  <c r="M16" i="3"/>
  <c r="J52" i="3"/>
  <c r="AS51" i="3" s="1"/>
  <c r="BL59" i="3" s="1"/>
  <c r="P14" i="6" s="1"/>
  <c r="M52" i="3"/>
  <c r="N40" i="3"/>
  <c r="O51" i="3"/>
  <c r="O18" i="3"/>
  <c r="J17" i="3"/>
  <c r="AE81" i="3" s="1"/>
  <c r="AQ81" i="3" s="1"/>
  <c r="L66" i="3"/>
  <c r="L52" i="3"/>
  <c r="N65" i="3"/>
  <c r="M65" i="3"/>
  <c r="N51" i="3"/>
  <c r="L51" i="3"/>
  <c r="O39" i="3"/>
  <c r="O64" i="3"/>
  <c r="O54" i="3"/>
  <c r="M17" i="3"/>
  <c r="J16" i="3"/>
  <c r="AS15" i="3" s="1"/>
  <c r="BL19" i="3" s="1"/>
  <c r="P4" i="6" s="1"/>
  <c r="L63" i="3"/>
  <c r="N39" i="3"/>
  <c r="M53" i="3"/>
  <c r="L65" i="3"/>
  <c r="J63" i="3"/>
  <c r="AS62" i="3" s="1"/>
  <c r="BL58" i="3" s="1"/>
  <c r="J54" i="3"/>
  <c r="M39" i="3"/>
  <c r="J64" i="3"/>
  <c r="AS63" i="3" s="1"/>
  <c r="BL31" i="3" s="1"/>
  <c r="P7" i="6" s="1"/>
  <c r="N54" i="3"/>
  <c r="AJ88" i="3"/>
  <c r="K57" i="3"/>
  <c r="AN88" i="3"/>
  <c r="O46" i="3"/>
  <c r="M48" i="3"/>
  <c r="N46" i="3"/>
  <c r="O42" i="3"/>
  <c r="J41" i="3"/>
  <c r="AE85" i="3" s="1"/>
  <c r="AQ85" i="3" s="1"/>
  <c r="AG88" i="3"/>
  <c r="AH88" i="3"/>
  <c r="M47" i="3"/>
  <c r="L47" i="3"/>
  <c r="J42" i="3"/>
  <c r="AF88" i="3"/>
  <c r="N47" i="3"/>
  <c r="O41" i="3"/>
  <c r="L46" i="3"/>
  <c r="N48" i="3"/>
  <c r="L42" i="3"/>
  <c r="O47" i="3"/>
  <c r="J47" i="3"/>
  <c r="AE86" i="3" s="1"/>
  <c r="AQ86" i="3" s="1"/>
  <c r="P57" i="3"/>
  <c r="L48" i="3"/>
  <c r="J46" i="3"/>
  <c r="AS45" i="3" s="1"/>
  <c r="BL63" i="3" s="1"/>
  <c r="P15" i="6" s="1"/>
  <c r="M46" i="3"/>
  <c r="AT88" i="3"/>
  <c r="N42" i="3"/>
  <c r="P60" i="3"/>
  <c r="K60" i="3"/>
  <c r="M15" i="3"/>
  <c r="O15" i="3"/>
  <c r="J15" i="3"/>
  <c r="AS14" i="3" s="1"/>
  <c r="BL66" i="3" s="1"/>
  <c r="M16" i="6" s="1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P10" i="3"/>
  <c r="AT80" i="3"/>
  <c r="BS61" i="3" l="1"/>
  <c r="T8" i="6" s="1"/>
  <c r="BS20" i="3"/>
  <c r="K10" i="3"/>
  <c r="S88" i="3"/>
  <c r="T88" i="3" s="1" a="1"/>
  <c r="T88" i="3" s="1"/>
  <c r="P30" i="3"/>
  <c r="K12" i="3"/>
  <c r="P28" i="3"/>
  <c r="K11" i="3"/>
  <c r="AL80" i="3"/>
  <c r="AI80" i="3"/>
  <c r="AG80" i="3"/>
  <c r="AH80" i="3"/>
  <c r="AF80" i="3"/>
  <c r="K28" i="3"/>
  <c r="P9" i="3"/>
  <c r="P11" i="3"/>
  <c r="AI83" i="3"/>
  <c r="K27" i="3"/>
  <c r="AJ83" i="3"/>
  <c r="AH83" i="3"/>
  <c r="AN80" i="3"/>
  <c r="AG83" i="3"/>
  <c r="AF83" i="3"/>
  <c r="AJ80" i="3"/>
  <c r="K30" i="3"/>
  <c r="AL83" i="3"/>
  <c r="AT83" i="3"/>
  <c r="AN83" i="3"/>
  <c r="P29" i="3"/>
  <c r="P27" i="3"/>
  <c r="K29" i="3"/>
  <c r="Q5" i="6"/>
  <c r="S98" i="3"/>
  <c r="T98" i="3" s="1" a="1"/>
  <c r="T98" i="3" s="1"/>
  <c r="BZ33" i="3"/>
  <c r="Q3" i="6"/>
  <c r="S96" i="3"/>
  <c r="T96" i="3" s="1" a="1"/>
  <c r="T96" i="3" s="1"/>
  <c r="T6" i="6"/>
  <c r="M6" i="6"/>
  <c r="S86" i="3"/>
  <c r="T86" i="3" s="1" a="1"/>
  <c r="T86" i="3" s="1"/>
  <c r="BS28" i="3"/>
  <c r="M5" i="6"/>
  <c r="S89" i="3"/>
  <c r="T89" i="3" s="1" a="1"/>
  <c r="T89" i="3" s="1"/>
  <c r="BS21" i="3"/>
  <c r="M7" i="6"/>
  <c r="S87" i="3"/>
  <c r="T87" i="3" s="1" a="1"/>
  <c r="T87" i="3" s="1"/>
  <c r="BS29" i="3"/>
  <c r="T4" i="6" s="1"/>
  <c r="P16" i="3"/>
  <c r="M9" i="6"/>
  <c r="S91" i="3"/>
  <c r="T91" i="3" s="1" a="1"/>
  <c r="T91" i="3" s="1"/>
  <c r="BS37" i="3"/>
  <c r="T5" i="6" s="1"/>
  <c r="BS44" i="3"/>
  <c r="Q6" i="6" s="1"/>
  <c r="M10" i="6"/>
  <c r="BS60" i="3"/>
  <c r="M14" i="6"/>
  <c r="P39" i="3"/>
  <c r="AT87" i="3"/>
  <c r="AN87" i="3"/>
  <c r="AJ87" i="3"/>
  <c r="AI87" i="3"/>
  <c r="AH87" i="3"/>
  <c r="AG87" i="3"/>
  <c r="AF87" i="3"/>
  <c r="AL87" i="3"/>
  <c r="P45" i="3"/>
  <c r="P69" i="3"/>
  <c r="K71" i="3"/>
  <c r="P72" i="3"/>
  <c r="K69" i="3"/>
  <c r="P18" i="3"/>
  <c r="K72" i="3"/>
  <c r="P76" i="3"/>
  <c r="P75" i="3"/>
  <c r="P40" i="3"/>
  <c r="AN90" i="3"/>
  <c r="AL90" i="3"/>
  <c r="AJ90" i="3"/>
  <c r="AI90" i="3"/>
  <c r="AH90" i="3"/>
  <c r="AF91" i="3"/>
  <c r="K51" i="3"/>
  <c r="P64" i="3"/>
  <c r="AG90" i="3"/>
  <c r="AF90" i="3"/>
  <c r="K75" i="3"/>
  <c r="AJ89" i="3"/>
  <c r="AL85" i="3"/>
  <c r="AN85" i="3"/>
  <c r="AL91" i="3"/>
  <c r="AT85" i="3"/>
  <c r="AL89" i="3"/>
  <c r="AI89" i="3"/>
  <c r="AI91" i="3"/>
  <c r="K40" i="3"/>
  <c r="K24" i="3"/>
  <c r="P22" i="3"/>
  <c r="P78" i="3"/>
  <c r="P70" i="3"/>
  <c r="AN89" i="3"/>
  <c r="AH91" i="3"/>
  <c r="P23" i="3"/>
  <c r="AT90" i="3"/>
  <c r="AG91" i="3"/>
  <c r="P15" i="3"/>
  <c r="AH82" i="3"/>
  <c r="K70" i="3"/>
  <c r="K54" i="3"/>
  <c r="P71" i="3"/>
  <c r="P77" i="3"/>
  <c r="AG82" i="3"/>
  <c r="AG85" i="3"/>
  <c r="AF85" i="3"/>
  <c r="P54" i="3"/>
  <c r="K64" i="3"/>
  <c r="P51" i="3"/>
  <c r="AT89" i="3"/>
  <c r="AJ91" i="3"/>
  <c r="K76" i="3"/>
  <c r="AI82" i="3"/>
  <c r="K78" i="3"/>
  <c r="AL86" i="3"/>
  <c r="K23" i="3"/>
  <c r="AH89" i="3"/>
  <c r="K77" i="3"/>
  <c r="AI86" i="3"/>
  <c r="AG89" i="3"/>
  <c r="P53" i="3"/>
  <c r="K52" i="3"/>
  <c r="P17" i="3"/>
  <c r="AF82" i="3"/>
  <c r="P42" i="3"/>
  <c r="K16" i="3"/>
  <c r="AG86" i="3"/>
  <c r="AF89" i="3"/>
  <c r="AT91" i="3"/>
  <c r="K39" i="3"/>
  <c r="K45" i="3"/>
  <c r="K65" i="3"/>
  <c r="P41" i="3"/>
  <c r="AF86" i="3"/>
  <c r="AN91" i="3"/>
  <c r="P63" i="3"/>
  <c r="K21" i="3"/>
  <c r="P24" i="3"/>
  <c r="K15" i="3"/>
  <c r="K22" i="3"/>
  <c r="P47" i="3"/>
  <c r="AT82" i="3"/>
  <c r="AL82" i="3"/>
  <c r="AJ82" i="3"/>
  <c r="K53" i="3"/>
  <c r="K48" i="3"/>
  <c r="K66" i="3"/>
  <c r="AG81" i="3"/>
  <c r="AF81" i="3"/>
  <c r="K17" i="3"/>
  <c r="P21" i="3"/>
  <c r="AJ86" i="3"/>
  <c r="AH86" i="3"/>
  <c r="K41" i="3"/>
  <c r="P48" i="3"/>
  <c r="P46" i="3"/>
  <c r="P66" i="3"/>
  <c r="K18" i="3"/>
  <c r="P65" i="3"/>
  <c r="K42" i="3"/>
  <c r="AJ81" i="3"/>
  <c r="AN82" i="3"/>
  <c r="P52" i="3"/>
  <c r="AN81" i="3"/>
  <c r="AI81" i="3"/>
  <c r="K63" i="3"/>
  <c r="AT81" i="3"/>
  <c r="AL81" i="3"/>
  <c r="AH81" i="3"/>
  <c r="K47" i="3"/>
  <c r="K46" i="3"/>
  <c r="AJ85" i="3"/>
  <c r="AI85" i="3"/>
  <c r="AT86" i="3"/>
  <c r="AH85" i="3"/>
  <c r="AN86" i="3"/>
  <c r="X3" i="6" l="1"/>
  <c r="U103" i="3"/>
  <c r="AC103" i="3" s="1" a="1"/>
  <c r="AC103" i="3" s="1"/>
  <c r="BZ48" i="3"/>
  <c r="U4" i="6" s="1"/>
  <c r="Q4" i="6"/>
  <c r="S97" i="3"/>
  <c r="T97" i="3" s="1" a="1"/>
  <c r="T97" i="3" s="1"/>
  <c r="BZ32" i="3"/>
  <c r="BZ17" i="3"/>
  <c r="T3" i="6"/>
  <c r="BZ64" i="3"/>
  <c r="U5" i="6" s="1"/>
  <c r="Q8" i="6"/>
  <c r="AL92" i="3"/>
  <c r="AM88" i="3" s="1"/>
  <c r="AG92" i="3"/>
  <c r="AN92" i="3"/>
  <c r="AJ92" i="3"/>
  <c r="AF92" i="3"/>
  <c r="AI92" i="3"/>
  <c r="AS92" i="3"/>
  <c r="AH92" i="3"/>
  <c r="X2" i="6" l="1"/>
  <c r="U102" i="3"/>
  <c r="AC102" i="3" s="1" a="1"/>
  <c r="AC102" i="3" s="1"/>
  <c r="U3" i="6"/>
  <c r="S103" i="3"/>
  <c r="T103" i="3" s="1" a="1"/>
  <c r="T103" i="3" s="1"/>
  <c r="CG24" i="3"/>
  <c r="AM85" i="3"/>
  <c r="AM84" i="3"/>
  <c r="AM86" i="3"/>
  <c r="AM87" i="3"/>
  <c r="AM81" i="3"/>
  <c r="AM89" i="3"/>
  <c r="AM90" i="3"/>
  <c r="AM82" i="3"/>
  <c r="AM83" i="3"/>
  <c r="AM91" i="3"/>
  <c r="AM80" i="3"/>
  <c r="S85" i="3"/>
  <c r="T85" i="3" s="1" a="1"/>
  <c r="T85" i="3" s="1"/>
  <c r="BS13" i="3"/>
  <c r="T2" i="6" s="1"/>
  <c r="AB2" i="6" l="1"/>
  <c r="CN48" i="3"/>
  <c r="AM92" i="3"/>
  <c r="AP87" i="3" s="1"/>
  <c r="AP91" i="3" l="1"/>
  <c r="AP83" i="3"/>
  <c r="AP82" i="3"/>
  <c r="AP88" i="3"/>
  <c r="AP90" i="3"/>
  <c r="AP86" i="3"/>
  <c r="AP89" i="3"/>
  <c r="AP81" i="3"/>
  <c r="AP80" i="3"/>
  <c r="AP84" i="3"/>
  <c r="AP85" i="3"/>
  <c r="AD89" i="3" l="1"/>
  <c r="AS89" i="3" s="1"/>
  <c r="AD88" i="3"/>
  <c r="AS88" i="3" s="1"/>
  <c r="AD84" i="3"/>
  <c r="AS84" i="3" s="1"/>
  <c r="AD86" i="3"/>
  <c r="AS86" i="3" s="1"/>
  <c r="AD82" i="3"/>
  <c r="AS82" i="3" s="1"/>
  <c r="AD83" i="3"/>
  <c r="AS83" i="3" s="1"/>
  <c r="AD81" i="3"/>
  <c r="AS81" i="3" s="1"/>
  <c r="AD91" i="3"/>
  <c r="AS91" i="3" s="1"/>
  <c r="AD90" i="3"/>
  <c r="AS90" i="3" s="1"/>
  <c r="AD85" i="3"/>
  <c r="AS85" i="3" s="1"/>
  <c r="AD80" i="3"/>
  <c r="AD87" i="3"/>
  <c r="AS87" i="3" s="1"/>
  <c r="L88" i="3" l="1"/>
  <c r="M86" i="3"/>
  <c r="J88" i="3"/>
  <c r="N84" i="3"/>
  <c r="L83" i="3"/>
  <c r="L92" i="3"/>
  <c r="O83" i="3"/>
  <c r="M87" i="3"/>
  <c r="L86" i="3"/>
  <c r="P86" i="3" s="1"/>
  <c r="J81" i="3"/>
  <c r="M89" i="3"/>
  <c r="O84" i="3"/>
  <c r="N89" i="3"/>
  <c r="AS80" i="3"/>
  <c r="N87" i="3"/>
  <c r="M82" i="3"/>
  <c r="N83" i="3"/>
  <c r="N91" i="3"/>
  <c r="M83" i="3"/>
  <c r="J83" i="3"/>
  <c r="O92" i="3"/>
  <c r="M85" i="3"/>
  <c r="L85" i="3"/>
  <c r="M81" i="3"/>
  <c r="J91" i="3"/>
  <c r="N86" i="3"/>
  <c r="L81" i="3"/>
  <c r="M84" i="3"/>
  <c r="L90" i="3"/>
  <c r="J84" i="3"/>
  <c r="J90" i="3"/>
  <c r="L82" i="3"/>
  <c r="P82" i="3" s="1"/>
  <c r="N88" i="3"/>
  <c r="O85" i="3"/>
  <c r="O82" i="3"/>
  <c r="O90" i="3"/>
  <c r="O87" i="3"/>
  <c r="O88" i="3"/>
  <c r="M88" i="3"/>
  <c r="M90" i="3"/>
  <c r="N90" i="3"/>
  <c r="N81" i="3"/>
  <c r="J92" i="3"/>
  <c r="N82" i="3"/>
  <c r="J86" i="3"/>
  <c r="N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P8" i="6" s="1"/>
  <c r="L91" i="3"/>
  <c r="J85" i="3"/>
  <c r="M92" i="3"/>
  <c r="O81" i="3"/>
  <c r="M91" i="3"/>
  <c r="L84" i="3"/>
  <c r="L87" i="3"/>
  <c r="J89" i="3"/>
  <c r="O86" i="3"/>
  <c r="N85" i="3"/>
  <c r="J87" i="3"/>
  <c r="L89" i="3"/>
  <c r="J82" i="3"/>
  <c r="O89" i="3"/>
  <c r="O91" i="3"/>
  <c r="P88" i="3" l="1"/>
  <c r="K83" i="3"/>
  <c r="P92" i="3"/>
  <c r="P84" i="3"/>
  <c r="P85" i="3"/>
  <c r="K90" i="3"/>
  <c r="P90" i="3"/>
  <c r="P89" i="3"/>
  <c r="K82" i="3"/>
  <c r="P81" i="3"/>
  <c r="K87" i="3"/>
  <c r="K86" i="3"/>
  <c r="P83" i="3"/>
  <c r="K81" i="3"/>
  <c r="P87" i="3"/>
  <c r="K85" i="3"/>
  <c r="K84" i="3"/>
  <c r="K88" i="3"/>
  <c r="K92" i="3"/>
  <c r="K91" i="3"/>
  <c r="P91" i="3"/>
  <c r="D3" i="4"/>
  <c r="BL51" i="3" s="1"/>
  <c r="P12" i="6" s="1"/>
  <c r="K3" i="4"/>
  <c r="BL55" i="3" s="1"/>
  <c r="P13" i="6" s="1"/>
  <c r="B3" i="4"/>
  <c r="G3" i="4"/>
  <c r="BL11" i="3" s="1"/>
  <c r="P2" i="6" s="1"/>
  <c r="E3" i="4"/>
  <c r="BL67" i="3" s="1"/>
  <c r="J3" i="4"/>
  <c r="BL71" i="3" s="1"/>
  <c r="P17" i="6" s="1"/>
  <c r="I3" i="4"/>
  <c r="BL15" i="3" s="1"/>
  <c r="P3" i="6" s="1"/>
  <c r="H3" i="4"/>
  <c r="BL39" i="3" s="1"/>
  <c r="P9" i="6" s="1"/>
  <c r="K89" i="3"/>
  <c r="BS53" i="3"/>
  <c r="T7" i="6" s="1"/>
  <c r="BS52" i="3"/>
  <c r="BS69" i="3"/>
  <c r="T9" i="6" s="1"/>
  <c r="BS68" i="3"/>
  <c r="S84" i="3" l="1"/>
  <c r="T84" i="3" s="1" a="1"/>
  <c r="T84" i="3" s="1"/>
  <c r="BS12" i="3"/>
  <c r="Q2" i="6" s="1"/>
  <c r="Q9" i="6"/>
  <c r="BZ65" i="3"/>
  <c r="BZ16" i="3"/>
  <c r="S95" i="3"/>
  <c r="T95" i="3" s="1" a="1"/>
  <c r="T95" i="3" s="1"/>
  <c r="BZ49" i="3"/>
  <c r="Q7" i="6"/>
  <c r="P16" i="6"/>
  <c r="P4" i="5" s="1"/>
  <c r="Q6" i="5" l="1"/>
  <c r="Q3" i="5"/>
  <c r="P3" i="5"/>
  <c r="Q7" i="5"/>
  <c r="O3" i="5"/>
  <c r="P7" i="5"/>
  <c r="O5" i="5"/>
  <c r="O6" i="5"/>
  <c r="O8" i="5"/>
  <c r="Q4" i="5"/>
  <c r="O7" i="5"/>
  <c r="Q5" i="5"/>
  <c r="P5" i="5"/>
  <c r="P8" i="5"/>
  <c r="U7" i="5"/>
  <c r="U3" i="5"/>
  <c r="T7" i="5"/>
  <c r="T3" i="5"/>
  <c r="S3" i="5"/>
  <c r="U6" i="5"/>
  <c r="T6" i="5"/>
  <c r="T5" i="5"/>
  <c r="U8" i="5"/>
  <c r="U4" i="5"/>
  <c r="S8" i="5"/>
  <c r="T8" i="5"/>
  <c r="T4" i="5"/>
  <c r="S4" i="5"/>
  <c r="S7" i="5"/>
  <c r="S6" i="5"/>
  <c r="U5" i="5"/>
  <c r="S5" i="5"/>
  <c r="P6" i="5"/>
  <c r="O4" i="5"/>
  <c r="Q8" i="5"/>
  <c r="U2" i="6"/>
  <c r="S102" i="3"/>
  <c r="T102" i="3" s="1" a="1"/>
  <c r="T102" i="3" s="1"/>
  <c r="CG23" i="3"/>
  <c r="CG55" i="3"/>
  <c r="X4" i="6"/>
  <c r="CG56" i="3"/>
  <c r="X5" i="6"/>
  <c r="Y5" i="5" l="1"/>
  <c r="X5" i="5"/>
  <c r="Y4" i="5"/>
  <c r="W4" i="5"/>
  <c r="Y7" i="5"/>
  <c r="X7" i="5"/>
  <c r="X3" i="5"/>
  <c r="Y6" i="5"/>
  <c r="W5" i="5"/>
  <c r="Y8" i="5"/>
  <c r="X4" i="5"/>
  <c r="W8" i="5"/>
  <c r="Y3" i="5"/>
  <c r="W7" i="5"/>
  <c r="W3" i="5"/>
  <c r="X6" i="5"/>
  <c r="W6" i="5"/>
  <c r="X8" i="5"/>
  <c r="AB3" i="6"/>
  <c r="CN49" i="3"/>
  <c r="Y3" i="6"/>
  <c r="CN38" i="3"/>
  <c r="AF2" i="6" s="1"/>
  <c r="CN37" i="3"/>
  <c r="S111" i="3"/>
  <c r="T111" i="3" s="1"/>
  <c r="Y2" i="6"/>
  <c r="AC7" i="5" l="1"/>
  <c r="AC3" i="5"/>
  <c r="AB7" i="5"/>
  <c r="AB3" i="5"/>
  <c r="AA3" i="5"/>
  <c r="AB6" i="5"/>
  <c r="AA6" i="5"/>
  <c r="AB5" i="5"/>
  <c r="AC8" i="5"/>
  <c r="AC4" i="5"/>
  <c r="AA8" i="5"/>
  <c r="AA4" i="5"/>
  <c r="AA7" i="5"/>
  <c r="AB8" i="5"/>
  <c r="AB4" i="5"/>
  <c r="AC6" i="5"/>
  <c r="AC5" i="5"/>
  <c r="AA5" i="5"/>
  <c r="CK68" i="3"/>
  <c r="AC2" i="6"/>
  <c r="AG8" i="5" l="1" a="1"/>
  <c r="AG8" i="5" s="1"/>
  <c r="AF5" i="5" a="1"/>
  <c r="AF5" i="5" s="1"/>
  <c r="AE5" i="5" a="1"/>
  <c r="AE5" i="5" s="1"/>
  <c r="AF8" i="5" a="1"/>
  <c r="AF8" i="5" s="1"/>
  <c r="AE8" i="5" a="1"/>
  <c r="AE8" i="5" s="1"/>
  <c r="AG7" i="5" a="1"/>
  <c r="AG7" i="5" s="1"/>
  <c r="AF7" i="5" a="1"/>
  <c r="AF7" i="5" s="1"/>
  <c r="AE7" i="5" a="1"/>
  <c r="AE7" i="5" s="1"/>
  <c r="AG6" i="5" a="1"/>
  <c r="AG6" i="5" s="1"/>
  <c r="AF3" i="5" a="1"/>
  <c r="AF3" i="5" s="1"/>
  <c r="AE3" i="5" a="1"/>
  <c r="AE3" i="5" s="1"/>
  <c r="AF6" i="5" a="1"/>
  <c r="AF6" i="5" s="1"/>
  <c r="AF4" i="5" a="1"/>
  <c r="AF4" i="5" s="1"/>
  <c r="AG3" i="5" a="1"/>
  <c r="AG3" i="5" s="1"/>
  <c r="AE6" i="5" a="1"/>
  <c r="AE6" i="5" s="1"/>
  <c r="AG5" i="5" a="1"/>
  <c r="AG5" i="5" s="1"/>
  <c r="AG4" i="5" a="1"/>
  <c r="AG4" i="5" s="1"/>
  <c r="AE4" i="5" a="1"/>
  <c r="AE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<sst xmlns="http://schemas.openxmlformats.org/spreadsheetml/2006/main" count="9903" uniqueCount="3715">
  <si>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</si>
  <si>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</si>
  <si>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</si>
  <si>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</si>
  <si>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</si>
  <si>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</si>
  <si>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</si>
  <si>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</si>
  <si>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</si>
  <si>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</si>
  <si>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</si>
  <si>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</si>
  <si>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</si>
  <si>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</si>
  <si>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</si>
  <si>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</si>
  <si>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</si>
  <si>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</si>
  <si>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</si>
  <si>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</si>
  <si>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</si>
  <si>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</si>
  <si>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</si>
  <si>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</si>
  <si>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</si>
  <si>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</si>
  <si>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</si>
  <si>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</si>
  <si>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</si>
  <si>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</si>
  <si>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</si>
  <si>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</si>
  <si>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</si>
  <si>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</si>
  <si>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</si>
  <si>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</si>
  <si>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</si>
  <si>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</si>
  <si>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</si>
  <si>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</si>
  <si>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</si>
  <si>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</si>
  <si>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</si>
  <si>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</si>
  <si>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</si>
  <si>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</si>
  <si>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</si>
  <si>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</si>
  <si>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</si>
  <si>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</si>
  <si>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</si>
  <si>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</si>
  <si>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</si>
  <si>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</si>
  <si>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</si>
  <si>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</si>
  <si>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</si>
  <si>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</si>
  <si>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</si>
  <si>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</si>
  <si>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</si>
  <si>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</si>
  <si>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</si>
  <si>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</si>
  <si>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</si>
  <si>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</si>
  <si>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</si>
  <si>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</si>
  <si>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</si>
  <si>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</si>
  <si>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</si>
  <si>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</si>
  <si>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</si>
  <si>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</si>
  <si>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</si>
  <si>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</si>
  <si>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</si>
  <si>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</si>
  <si>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</si>
  <si>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</si>
  <si>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</si>
  <si>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</si>
  <si>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</si>
  <si>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</si>
  <si>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</si>
  <si>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</si>
  <si>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</si>
  <si>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</si>
  <si>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</si>
  <si>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</si>
  <si>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</si>
  <si>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</si>
  <si>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</si>
  <si>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</si>
  <si>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</si>
  <si>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</si>
  <si>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</si>
  <si>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</si>
  <si>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</si>
  <si>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</si>
  <si>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</si>
  <si>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</si>
  <si>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</si>
  <si>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</si>
  <si>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</si>
  <si>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</si>
  <si>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</si>
  <si>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</si>
  <si>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</si>
  <si>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</si>
  <si>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</si>
  <si>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</si>
  <si>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</si>
  <si>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</si>
  <si>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</si>
  <si>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</si>
  <si>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</si>
  <si>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</si>
  <si>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</si>
  <si>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</si>
  <si>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</si>
  <si>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</si>
  <si>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</si>
  <si>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</si>
  <si>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</si>
  <si>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</si>
  <si>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</si>
  <si>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</si>
  <si>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</si>
  <si>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</si>
  <si>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</si>
  <si>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</si>
  <si>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</si>
  <si>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</si>
  <si>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</si>
  <si>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</si>
  <si>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</si>
  <si>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</si>
  <si>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</si>
  <si>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</si>
  <si>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</si>
  <si>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</si>
  <si>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</si>
  <si>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</si>
  <si>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</si>
  <si>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</si>
  <si>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</si>
  <si>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</si>
  <si>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</si>
  <si>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</si>
  <si>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</si>
  <si>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</si>
  <si>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</si>
  <si>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</si>
  <si>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</si>
  <si>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</si>
  <si>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</si>
  <si>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</si>
  <si>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</si>
  <si>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</si>
  <si>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</si>
  <si>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</si>
  <si>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</si>
  <si>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</si>
  <si>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</si>
  <si>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</si>
  <si>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</si>
  <si>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</si>
  <si>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</si>
  <si>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</si>
  <si>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</si>
  <si>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</si>
  <si>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</si>
  <si>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</si>
  <si>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</si>
  <si>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</si>
  <si>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</si>
  <si>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</si>
  <si>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</si>
  <si>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</si>
  <si>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</si>
  <si>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</si>
  <si>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</si>
  <si>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</si>
  <si>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</si>
  <si>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</si>
  <si>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</si>
  <si>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</si>
  <si>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</si>
  <si>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</si>
  <si>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</si>
  <si>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</si>
  <si>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</si>
  <si>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</si>
  <si>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</si>
  <si>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</si>
  <si>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</si>
  <si>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</si>
  <si>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</si>
  <si>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</si>
  <si>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</si>
  <si>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</si>
  <si>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</si>
  <si>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</si>
  <si>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</si>
  <si>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</si>
  <si>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</si>
  <si>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</si>
  <si>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</si>
  <si>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</si>
  <si>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</si>
  <si>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</si>
  <si>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</si>
  <si>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</si>
  <si>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</si>
  <si>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</si>
  <si>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</si>
  <si>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</si>
  <si>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</si>
  <si>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</si>
  <si>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</si>
  <si>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</si>
  <si>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</si>
  <si>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</si>
  <si>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</si>
  <si>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</si>
  <si>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</si>
  <si>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</si>
  <si>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</si>
  <si>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</si>
  <si>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</si>
  <si>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</si>
  <si>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</si>
  <si>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</si>
  <si>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</si>
  <si>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</si>
  <si>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</si>
  <si>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</si>
  <si>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</si>
  <si>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</si>
  <si>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</si>
  <si>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</si>
  <si>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</si>
  <si>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</si>
  <si>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</si>
  <si>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</si>
  <si>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</si>
  <si>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</si>
  <si>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</si>
  <si>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</si>
  <si>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</si>
  <si>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</si>
  <si>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</si>
  <si>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</si>
  <si>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</si>
  <si>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</si>
  <si>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</si>
  <si>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</si>
  <si>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</si>
  <si>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</si>
  <si>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</si>
  <si>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</si>
  <si>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</si>
  <si>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</si>
  <si>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</si>
  <si>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</si>
  <si>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</si>
  <si>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</si>
  <si>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</si>
  <si>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</si>
  <si>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</si>
  <si>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</si>
  <si>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</si>
  <si>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</si>
  <si>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</si>
  <si>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</si>
  <si>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</si>
  <si>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</si>
  <si>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</si>
  <si>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</si>
  <si>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</si>
  <si>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</si>
  <si>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</si>
  <si>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</si>
  <si>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</si>
  <si>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</si>
  <si>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</si>
  <si>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</si>
  <si>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</si>
  <si>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</si>
  <si>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</si>
  <si>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</si>
  <si>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</si>
  <si>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</si>
  <si>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</si>
  <si>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</si>
  <si>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</si>
  <si>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</si>
  <si>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</si>
  <si>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</si>
  <si>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</si>
  <si>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</si>
  <si>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</si>
  <si>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</si>
  <si>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</si>
  <si>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</si>
  <si>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</si>
  <si>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</si>
  <si>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</si>
  <si>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</si>
  <si>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</si>
  <si>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</si>
  <si>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</si>
  <si>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</si>
  <si>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</si>
  <si>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</si>
  <si>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</si>
  <si>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</si>
  <si>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</si>
  <si>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</si>
  <si>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</si>
  <si>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</si>
  <si>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</si>
  <si>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</si>
  <si>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</si>
  <si>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</si>
  <si>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</si>
  <si>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</si>
  <si>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</si>
  <si>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</si>
  <si>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</si>
  <si>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</si>
  <si>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</si>
  <si>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</si>
  <si>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</si>
  <si>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</si>
  <si>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</si>
  <si>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</si>
  <si>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</si>
  <si>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</si>
  <si>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</si>
  <si>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</si>
  <si>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</si>
  <si>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</si>
  <si>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</si>
  <si>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</si>
  <si>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</si>
  <si>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</si>
  <si>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</si>
  <si>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</si>
  <si>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</si>
  <si>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</si>
  <si>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</si>
  <si>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</si>
  <si>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</si>
  <si>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</si>
  <si>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</si>
  <si>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</si>
  <si>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</si>
  <si>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</si>
  <si>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</si>
  <si>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</si>
  <si>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</si>
  <si>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</si>
  <si>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</si>
  <si>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</si>
  <si>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</si>
  <si>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</si>
  <si>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</si>
  <si>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</si>
  <si>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</si>
  <si>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</si>
  <si>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</si>
  <si>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</si>
  <si>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</si>
  <si>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</si>
  <si>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</si>
  <si>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</si>
  <si>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</si>
  <si>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</si>
  <si>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</si>
  <si>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</si>
  <si>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</si>
  <si>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</si>
  <si>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</si>
  <si>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</si>
  <si>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</si>
  <si>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</si>
  <si>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</si>
  <si>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</si>
  <si>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</si>
  <si>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</si>
  <si>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</si>
  <si>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</si>
  <si>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</si>
  <si>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</si>
  <si>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</si>
  <si>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</si>
  <si>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</si>
  <si>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</si>
  <si>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</si>
  <si>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</si>
  <si>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</si>
  <si>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</si>
  <si>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</si>
  <si>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</si>
  <si>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</si>
  <si>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</si>
  <si>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</si>
  <si>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</si>
  <si>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</si>
  <si>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</si>
  <si>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</si>
  <si>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</si>
  <si>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</si>
  <si>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</si>
  <si>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</si>
  <si>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</si>
  <si>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</si>
  <si>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</si>
  <si>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</si>
  <si>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</si>
  <si>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</si>
  <si>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</si>
  <si>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</si>
  <si>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</si>
  <si>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</si>
  <si>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</si>
  <si>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</si>
  <si>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</si>
  <si>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</si>
  <si>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</si>
  <si>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</si>
  <si>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</si>
  <si>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</si>
  <si>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</si>
  <si>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</si>
  <si>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</si>
  <si>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</si>
  <si>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</si>
  <si>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</si>
  <si>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</si>
  <si>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</si>
  <si>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</si>
  <si>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</si>
  <si>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</si>
  <si>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</si>
  <si>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</si>
  <si>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</si>
  <si>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</si>
  <si>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</si>
  <si>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</si>
  <si>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</si>
  <si>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</si>
  <si>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</si>
  <si>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</si>
  <si>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</si>
  <si>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</si>
  <si>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</si>
  <si>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</si>
  <si>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</si>
  <si>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</si>
  <si>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</si>
  <si>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</si>
  <si>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</si>
  <si>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</si>
  <si>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</si>
  <si>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</si>
  <si>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</si>
  <si>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</si>
  <si>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</si>
  <si>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</si>
  <si>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</si>
  <si>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</si>
  <si>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</si>
  <si>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</si>
  <si>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</si>
  <si>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</si>
  <si>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</si>
  <si>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</si>
  <si>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</si>
  <si>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</si>
  <si>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</si>
  <si>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</si>
  <si>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</si>
  <si>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</si>
  <si>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</si>
  <si>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</si>
  <si>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</si>
  <si>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</si>
  <si>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</si>
  <si>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</si>
  <si>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</si>
  <si>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</si>
  <si>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</si>
  <si>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</si>
  <si>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</si>
  <si>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</si>
  <si>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</si>
  <si>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</si>
  <si>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</si>
  <si>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</si>
  <si>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</si>
  <si>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</si>
  <si>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</si>
  <si>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</si>
  <si>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</si>
  <si>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</si>
  <si>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</si>
  <si>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</si>
  <si>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</si>
  <si>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</si>
  <si>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</si>
  <si>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</si>
  <si>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</si>
  <si>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</si>
  <si>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</si>
  <si>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</si>
  <si>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</si>
  <si>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</si>
  <si>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</si>
  <si>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</si>
  <si>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</si>
  <si>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</si>
  <si>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</si>
  <si>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</si>
  <si>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</si>
  <si>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</si>
  <si>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</si>
  <si>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</si>
  <si>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</si>
  <si>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</si>
  <si>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</si>
  <si>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</si>
  <si>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</si>
  <si>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</si>
  <si>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</si>
  <si>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</si>
  <si>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</si>
  <si>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</si>
  <si>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</si>
  <si>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</si>
  <si>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</si>
  <si>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</si>
  <si>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</si>
  <si>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</si>
  <si>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</si>
  <si>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</si>
  <si>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</si>
  <si>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</si>
  <si>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</si>
  <si>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</si>
  <si>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</si>
  <si>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</si>
  <si>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</si>
  <si>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</si>
  <si>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</si>
  <si>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</si>
  <si>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</si>
  <si>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</si>
  <si>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</si>
  <si>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</si>
  <si>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</si>
  <si>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</si>
  <si>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</si>
  <si>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</si>
  <si>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</si>
  <si>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</si>
  <si>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</si>
  <si>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</si>
  <si>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</si>
  <si>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</si>
  <si>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</si>
  <si>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</si>
  <si>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</si>
  <si>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</si>
  <si>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</si>
  <si>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</si>
  <si>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</si>
  <si>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</si>
  <si>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</si>
  <si>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</si>
  <si>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</si>
  <si>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</si>
  <si>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</si>
  <si>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</si>
  <si>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</si>
  <si>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</si>
  <si>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</si>
  <si>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</si>
  <si>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</si>
  <si>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</si>
  <si>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</si>
  <si>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</si>
  <si>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</si>
  <si>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</si>
  <si>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</si>
  <si>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</si>
  <si>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</si>
  <si>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</si>
  <si>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</si>
  <si>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</si>
  <si>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</si>
  <si>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</si>
  <si>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</si>
  <si>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</si>
  <si>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</si>
  <si>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</si>
  <si>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</si>
  <si>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</si>
  <si>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</si>
  <si>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</si>
  <si>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</si>
  <si>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</si>
  <si>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</si>
  <si>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</si>
  <si>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</si>
  <si>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</si>
  <si>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</si>
  <si>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</si>
  <si>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</si>
  <si>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</si>
  <si>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</si>
  <si>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</si>
  <si>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</si>
  <si>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</si>
  <si>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</si>
  <si>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</si>
  <si>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</si>
  <si>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</si>
  <si>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</si>
  <si>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</si>
  <si>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</si>
  <si>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</si>
  <si>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</si>
  <si>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</si>
  <si>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</si>
  <si>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</si>
  <si>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</si>
  <si>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</si>
  <si>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</si>
  <si>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</si>
  <si>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</si>
  <si>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</si>
  <si>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</si>
  <si>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</si>
  <si>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</si>
  <si>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</si>
  <si>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</si>
  <si>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</si>
  <si>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</si>
  <si>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</si>
  <si>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</si>
  <si>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</si>
  <si>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</si>
  <si>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</si>
  <si>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</si>
  <si>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</si>
  <si>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</si>
  <si>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</si>
  <si>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</si>
  <si>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</si>
  <si>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</si>
  <si>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</si>
  <si>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</si>
  <si>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</si>
  <si>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</si>
  <si>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</si>
  <si>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</si>
  <si>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</si>
  <si>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</si>
  <si>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</si>
  <si>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</si>
  <si>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</si>
  <si>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</si>
  <si>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</si>
  <si>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</si>
  <si>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</si>
  <si>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</si>
  <si>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</si>
  <si>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</si>
  <si>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</si>
  <si>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</si>
  <si>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</si>
  <si>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</si>
  <si>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</si>
  <si>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</si>
  <si>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</si>
  <si>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</si>
  <si>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</si>
  <si>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</si>
  <si>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</si>
  <si>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</si>
  <si>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</si>
  <si>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</si>
  <si>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</si>
  <si>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</si>
  <si>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</si>
  <si>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</si>
  <si>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</si>
  <si>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</si>
  <si>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</si>
  <si>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</si>
  <si>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</si>
  <si>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</si>
  <si>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</si>
  <si>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</si>
  <si>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</si>
  <si>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</si>
  <si>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</si>
  <si>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</si>
  <si>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</si>
  <si>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</si>
  <si>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</si>
  <si>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</si>
  <si>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</si>
  <si>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</si>
  <si>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</si>
  <si>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</si>
  <si>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</si>
  <si>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</si>
  <si>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</si>
  <si>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</si>
  <si>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</si>
  <si>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</si>
  <si>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</si>
  <si>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</si>
  <si>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</si>
  <si>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</si>
  <si>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</si>
  <si>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</si>
  <si>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</si>
  <si>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</si>
  <si>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</si>
  <si>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</si>
  <si>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</si>
  <si>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</si>
  <si>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</si>
  <si>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</si>
  <si>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</si>
  <si>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</si>
  <si>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</si>
  <si>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</si>
  <si>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</si>
  <si>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</si>
  <si>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</si>
  <si>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</si>
  <si>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</si>
  <si>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</si>
  <si>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</si>
  <si>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</si>
  <si>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</si>
  <si>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</si>
  <si>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</si>
  <si>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</si>
  <si>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</si>
  <si>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</si>
  <si>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</si>
  <si>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</si>
  <si>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</si>
  <si>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</si>
  <si>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</si>
  <si>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</si>
  <si>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</si>
  <si>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</si>
  <si>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</si>
  <si>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</si>
  <si>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</si>
  <si>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</si>
  <si>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</si>
  <si>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</si>
  <si>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</si>
  <si>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</si>
  <si>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</si>
  <si>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</si>
  <si>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</si>
  <si>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</si>
  <si>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</si>
  <si>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</si>
  <si>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</si>
  <si>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</si>
  <si>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</si>
  <si>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</si>
  <si>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</si>
  <si>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</si>
  <si>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</si>
  <si>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</si>
  <si>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</si>
  <si>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</si>
  <si>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</si>
  <si>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</si>
  <si>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</si>
  <si>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</si>
  <si>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</si>
  <si>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</si>
  <si>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</si>
  <si>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</si>
  <si>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</si>
  <si>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</si>
  <si>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</si>
  <si>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</si>
  <si>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</si>
  <si>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</si>
  <si>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</si>
  <si>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</si>
  <si>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</si>
  <si>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</si>
  <si>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</si>
  <si>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</si>
  <si>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</si>
  <si>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</si>
  <si>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</si>
  <si>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</si>
  <si>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</si>
  <si>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</si>
  <si>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</si>
  <si>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</si>
  <si>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</si>
  <si>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</si>
  <si>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</si>
  <si>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</si>
  <si>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</si>
  <si>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</si>
  <si>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</si>
  <si>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</si>
  <si>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</si>
  <si>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</si>
  <si>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</si>
  <si>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</si>
  <si>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</si>
  <si>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</si>
  <si>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</si>
  <si>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</si>
  <si>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</si>
  <si>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</si>
  <si>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</si>
  <si>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</si>
  <si>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</si>
  <si>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</si>
  <si>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</si>
  <si>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</si>
  <si>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</si>
  <si>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</si>
  <si>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</si>
  <si>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</si>
  <si>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</si>
  <si>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</si>
  <si>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</si>
  <si>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</si>
  <si>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</si>
  <si>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</si>
  <si>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</si>
  <si>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</si>
  <si>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</si>
  <si>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</si>
  <si>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</si>
  <si>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</si>
  <si>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</si>
  <si>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</si>
  <si>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</si>
  <si>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</si>
  <si>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</si>
  <si>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</si>
  <si>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</si>
  <si>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</si>
  <si>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</si>
  <si>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</si>
  <si>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</si>
  <si>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</si>
  <si>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</si>
  <si>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</si>
  <si>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</si>
  <si>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</si>
  <si>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</si>
  <si>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</si>
  <si>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</si>
  <si>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</si>
  <si>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</si>
  <si>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</si>
  <si>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</si>
  <si>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</si>
  <si>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</si>
  <si>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</si>
  <si>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</si>
  <si>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</si>
  <si>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</si>
  <si>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</si>
  <si>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</si>
  <si>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</si>
  <si>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</si>
  <si>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</si>
  <si>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</si>
  <si>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</si>
  <si>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</si>
  <si>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</si>
  <si>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</si>
  <si>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</si>
  <si>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</si>
  <si>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</si>
  <si>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</si>
  <si>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</si>
  <si>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</si>
  <si>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</si>
  <si>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</si>
  <si>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</si>
  <si>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</si>
  <si>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</si>
  <si>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</si>
  <si>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</si>
  <si>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</si>
  <si>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</si>
  <si>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</si>
  <si>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</si>
  <si>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</si>
  <si>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</si>
  <si>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</si>
  <si>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</si>
  <si>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</si>
  <si>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</si>
  <si>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</si>
  <si>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</si>
  <si>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</si>
  <si>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</si>
  <si>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</si>
  <si>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</si>
  <si>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</si>
  <si>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</si>
  <si>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</si>
  <si>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</si>
  <si>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</si>
  <si>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</si>
  <si>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</si>
  <si>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</si>
  <si>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</si>
  <si>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</si>
  <si>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</si>
  <si>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</si>
  <si>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</si>
  <si>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</si>
  <si>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</si>
  <si>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</si>
  <si>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</si>
  <si>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</si>
  <si>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</si>
  <si>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</si>
  <si>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</si>
  <si>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</si>
  <si>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</si>
  <si>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</si>
  <si>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</si>
  <si>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</si>
  <si>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</si>
  <si>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</si>
  <si>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</si>
  <si>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</si>
  <si>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</si>
  <si>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</si>
  <si>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</si>
  <si>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</si>
  <si>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</si>
  <si>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</si>
  <si>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</si>
  <si>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</si>
  <si>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</si>
  <si>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</si>
  <si>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</si>
  <si>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</si>
  <si>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</si>
  <si>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</si>
  <si>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</si>
  <si>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</si>
  <si>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</si>
  <si>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</si>
  <si>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</si>
  <si>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</si>
  <si>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</si>
  <si>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</si>
  <si>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</si>
  <si>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</si>
  <si>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</si>
  <si>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</si>
  <si>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</si>
  <si>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</si>
  <si>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</si>
  <si>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</si>
  <si>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</si>
  <si>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</si>
  <si>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</si>
  <si>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</si>
  <si>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</si>
  <si>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</si>
  <si>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</si>
  <si>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</si>
  <si>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</si>
  <si>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</si>
  <si>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</si>
  <si>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</si>
  <si>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</si>
  <si>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</si>
  <si>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</si>
  <si>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</si>
  <si>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</si>
  <si>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</si>
  <si>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</si>
  <si>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</si>
  <si>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</si>
  <si>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</si>
  <si>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</si>
  <si>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</si>
  <si>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</si>
  <si>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</si>
  <si>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</si>
  <si>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</si>
  <si>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</si>
  <si>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</si>
  <si>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</si>
  <si>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</si>
  <si>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</si>
  <si>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</si>
  <si>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</si>
  <si>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</si>
  <si>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</si>
  <si>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</si>
  <si>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</si>
  <si>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</si>
  <si>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</si>
  <si>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</si>
  <si>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</si>
  <si>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</si>
  <si>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</si>
  <si>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</si>
  <si>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</si>
  <si>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</si>
  <si>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</si>
  <si>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</si>
  <si>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</si>
  <si>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</si>
  <si>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</si>
  <si>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</si>
  <si>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</si>
  <si>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</si>
  <si>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</si>
  <si>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</si>
  <si>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</si>
  <si>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</si>
  <si>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</si>
  <si>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</si>
  <si>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</si>
  <si>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</si>
  <si>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</si>
  <si>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</si>
  <si>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</si>
  <si>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</si>
  <si>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</si>
  <si>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</si>
  <si>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</si>
  <si>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</si>
  <si>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</si>
  <si>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</si>
  <si>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</si>
  <si>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</si>
  <si>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</si>
  <si>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</si>
  <si>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</si>
  <si>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</si>
  <si>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</si>
  <si>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</si>
  <si>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</si>
  <si>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</si>
  <si>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</si>
  <si>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</si>
  <si>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</si>
  <si>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</si>
  <si>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</si>
  <si>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</si>
  <si>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</si>
  <si>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</si>
  <si>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</si>
  <si>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</si>
  <si>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</si>
  <si>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</si>
  <si>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</si>
  <si>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</si>
  <si>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</si>
  <si>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</si>
  <si>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</si>
  <si>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</si>
  <si>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</si>
  <si>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</si>
  <si>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</si>
  <si>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</si>
  <si>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</si>
  <si>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</si>
  <si>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</si>
  <si>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</si>
  <si>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</si>
  <si>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</si>
  <si>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</si>
  <si>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</si>
  <si>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</si>
  <si>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</si>
  <si>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</si>
  <si>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</si>
  <si>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</si>
  <si>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</si>
  <si>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</si>
  <si>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</si>
  <si>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</si>
  <si>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</si>
  <si>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</si>
  <si>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</si>
  <si>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</si>
  <si>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</si>
  <si>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</si>
  <si>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</si>
  <si>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</si>
  <si>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</si>
  <si>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</si>
  <si>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</si>
  <si>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</si>
  <si>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</si>
  <si>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</si>
  <si>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</si>
  <si>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</si>
  <si>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</si>
  <si>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</si>
  <si>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</si>
  <si>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</si>
  <si>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</si>
  <si>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</si>
  <si>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</si>
  <si>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</si>
  <si>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</si>
  <si>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</si>
  <si>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</si>
  <si>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</si>
  <si>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</si>
  <si>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</si>
  <si>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</si>
  <si>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</si>
  <si>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</si>
  <si>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</si>
  <si>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</si>
  <si>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</si>
  <si>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</si>
  <si>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</si>
  <si>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</si>
  <si>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</si>
  <si>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</si>
  <si>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</si>
  <si>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</si>
  <si>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</si>
  <si>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</si>
  <si>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</si>
  <si>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</si>
  <si>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</si>
  <si>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</si>
  <si>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</si>
  <si>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</si>
  <si>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</si>
  <si>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</si>
  <si>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</si>
  <si>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</si>
  <si>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</si>
  <si>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</si>
  <si>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</si>
  <si>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</si>
  <si>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</si>
  <si>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</si>
  <si>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</si>
  <si>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</si>
  <si>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</si>
  <si>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</si>
  <si>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</si>
  <si>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</si>
  <si>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</si>
  <si>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</si>
  <si>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</si>
  <si>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</si>
  <si>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</si>
  <si>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</si>
  <si>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</si>
  <si>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</si>
  <si>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</si>
  <si>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</si>
  <si>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</si>
  <si>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</si>
  <si>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</si>
  <si>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</si>
  <si>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</si>
  <si>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</si>
  <si>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</si>
  <si>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</si>
  <si>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</si>
  <si>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</si>
  <si>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</si>
  <si>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</si>
  <si>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</si>
  <si>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</si>
  <si>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</si>
  <si>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</si>
  <si>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</si>
  <si>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</si>
  <si>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</si>
  <si>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</si>
  <si>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</si>
  <si>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</si>
  <si>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</si>
  <si>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</si>
  <si>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</si>
  <si>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</si>
  <si>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</si>
  <si>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</si>
  <si>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</si>
  <si>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</si>
  <si>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</si>
  <si>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</si>
  <si>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</si>
  <si>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</si>
  <si>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</si>
  <si>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</si>
  <si>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</si>
  <si>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</si>
  <si>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</si>
  <si>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</si>
  <si>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</si>
  <si>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</si>
  <si>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</si>
  <si>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</si>
  <si>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</si>
  <si>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</si>
  <si>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</si>
  <si>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</si>
  <si>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</si>
  <si>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</si>
  <si>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</si>
  <si>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</si>
  <si>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</si>
  <si>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</si>
  <si>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</si>
  <si>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</si>
  <si>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</si>
  <si>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</si>
  <si>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</si>
  <si>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</si>
  <si>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</si>
  <si>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</si>
  <si>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</si>
  <si>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</si>
  <si>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</si>
  <si>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</si>
  <si>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</si>
  <si>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</si>
  <si>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</si>
  <si>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</si>
  <si>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</si>
  <si>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</si>
  <si>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</si>
  <si>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</si>
  <si>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</si>
  <si>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</si>
  <si>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</si>
  <si>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</si>
  <si>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</si>
  <si>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</si>
  <si>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</si>
  <si>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</si>
  <si>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</si>
  <si>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</si>
  <si>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</si>
  <si>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</si>
  <si>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</si>
  <si>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</si>
  <si>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</si>
  <si>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</si>
  <si>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</si>
  <si>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</si>
  <si>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</si>
  <si>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</si>
  <si>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</si>
  <si>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</si>
  <si>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</si>
  <si>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</si>
  <si>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</si>
  <si>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</si>
  <si>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</si>
  <si>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</si>
  <si>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</si>
  <si>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</si>
  <si>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</si>
  <si>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</si>
  <si>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</si>
  <si>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</si>
  <si>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</si>
  <si>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</si>
  <si>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</si>
  <si>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</si>
  <si>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</si>
  <si>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</si>
  <si>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</si>
  <si>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</si>
  <si>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</si>
  <si>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</si>
  <si>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</si>
  <si>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</si>
  <si>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</si>
  <si>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</si>
  <si>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</si>
  <si>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</si>
  <si>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</si>
  <si>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</si>
  <si>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</si>
  <si>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</si>
  <si>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</si>
  <si>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</si>
  <si>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</si>
  <si>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</si>
  <si>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</si>
  <si>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</si>
  <si>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</si>
  <si>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</si>
  <si>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</si>
  <si>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</si>
  <si>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</si>
  <si>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</si>
  <si>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</si>
  <si>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</si>
  <si>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</si>
  <si>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</si>
  <si>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</si>
  <si>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</si>
  <si>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</si>
  <si>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</si>
  <si>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</si>
  <si>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</si>
  <si>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</si>
  <si>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</si>
  <si>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</si>
  <si>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</si>
  <si>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</si>
  <si>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</si>
  <si>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</si>
  <si>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</si>
  <si>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</si>
  <si>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</si>
  <si>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</si>
  <si>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</si>
  <si>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</si>
  <si>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</si>
  <si>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</si>
  <si>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</si>
  <si>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</si>
  <si>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</si>
  <si>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</si>
  <si>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</si>
  <si>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</si>
  <si>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</si>
  <si>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</si>
  <si>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</si>
  <si>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</si>
  <si>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</si>
  <si>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</si>
  <si>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</si>
  <si>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</si>
  <si>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</si>
  <si>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</si>
  <si>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</si>
  <si>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</si>
  <si>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</si>
  <si>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</si>
  <si>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</si>
  <si>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</si>
  <si>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</si>
  <si>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</si>
  <si>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</si>
  <si>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</si>
  <si>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</si>
  <si>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</si>
  <si>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</si>
  <si>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</si>
  <si>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</si>
  <si>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</si>
  <si>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</si>
  <si>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</si>
  <si>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</si>
  <si>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</si>
  <si>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</si>
  <si>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</si>
  <si>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</si>
  <si>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</si>
  <si>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</si>
  <si>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</si>
  <si>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</si>
  <si>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</si>
  <si>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</si>
  <si>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</si>
  <si>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</si>
  <si>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</si>
  <si>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</si>
  <si>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</si>
  <si>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</si>
  <si>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</si>
  <si>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</si>
  <si>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</si>
  <si>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</si>
  <si>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</si>
  <si>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</si>
  <si>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</si>
  <si>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</si>
  <si>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</si>
  <si>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</si>
  <si>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</si>
  <si>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</si>
  <si>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</si>
  <si>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</si>
  <si>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</si>
  <si>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</si>
  <si>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</si>
  <si>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</si>
  <si>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</si>
  <si>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</si>
  <si>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</si>
  <si>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</si>
  <si>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</si>
  <si>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</si>
  <si>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</si>
  <si>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</si>
  <si>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</si>
  <si>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</si>
  <si>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</si>
  <si>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</si>
  <si>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</si>
  <si>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</si>
  <si>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</si>
  <si>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</si>
  <si>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</si>
  <si>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</si>
  <si>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</si>
  <si>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</si>
  <si>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</si>
  <si>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</si>
  <si>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</si>
  <si>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</si>
  <si>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</si>
  <si>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</si>
  <si>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</si>
  <si>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</si>
  <si>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</si>
  <si>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</si>
  <si>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</si>
  <si>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</si>
  <si>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</si>
  <si>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</si>
  <si>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</si>
  <si>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</si>
  <si>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</si>
  <si>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</si>
  <si>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</si>
  <si>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</si>
  <si>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</si>
  <si>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</si>
  <si>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</si>
  <si>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</si>
  <si>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</si>
  <si>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</si>
  <si>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</si>
  <si>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</si>
  <si>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</si>
  <si>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</si>
  <si>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</si>
  <si>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</si>
  <si>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</si>
  <si>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</si>
  <si>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</si>
  <si>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</si>
  <si>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</si>
  <si>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</si>
  <si>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</si>
  <si>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</si>
  <si>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</si>
  <si>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</si>
  <si>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</si>
  <si>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</si>
  <si>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</si>
  <si>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</si>
  <si>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</si>
  <si>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</si>
  <si>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</si>
  <si>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</si>
  <si>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</si>
  <si>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</si>
  <si>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</si>
  <si>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</si>
  <si>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</si>
  <si>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</si>
  <si>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</si>
  <si>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</si>
  <si>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</si>
  <si>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</si>
  <si>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</si>
  <si>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</si>
  <si>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</si>
  <si>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</si>
  <si>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</si>
  <si>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</si>
  <si>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</si>
  <si>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</si>
  <si>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</si>
  <si>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</si>
  <si>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</si>
  <si>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</si>
  <si>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</si>
  <si>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</si>
  <si>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</si>
  <si>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</si>
  <si>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</si>
  <si>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</si>
  <si>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</si>
  <si>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</si>
  <si>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</si>
  <si>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</si>
  <si>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</si>
  <si>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</si>
  <si>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</si>
  <si>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</si>
  <si>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</si>
  <si>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</si>
  <si>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</si>
  <si>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</si>
  <si>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</si>
  <si>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</si>
  <si>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</si>
  <si>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</si>
  <si>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</si>
  <si>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</si>
  <si>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</si>
  <si>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</si>
  <si>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</si>
  <si>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</si>
  <si>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</si>
  <si>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</si>
  <si>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</si>
  <si>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</si>
  <si>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</si>
  <si>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</si>
  <si>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</si>
  <si>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</si>
  <si>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</si>
  <si>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</si>
  <si>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</si>
  <si>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</si>
  <si>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</si>
  <si>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</si>
  <si>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</si>
  <si>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</si>
  <si>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</si>
  <si>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</si>
  <si>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</si>
  <si>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</si>
  <si>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</si>
  <si>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</si>
  <si>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</si>
  <si>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</si>
  <si>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</si>
  <si>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</si>
  <si>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</si>
  <si>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</si>
  <si>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</si>
  <si>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</si>
  <si>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</si>
  <si>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</si>
  <si>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</si>
  <si>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</si>
  <si>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</si>
  <si>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</si>
  <si>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</si>
  <si>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</si>
  <si>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</si>
  <si>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</si>
  <si>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</si>
  <si>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</si>
  <si>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</si>
  <si>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</si>
  <si>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</si>
  <si>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</si>
  <si>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</si>
  <si>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</si>
  <si>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</si>
  <si>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</si>
  <si>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</si>
  <si>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</si>
  <si>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</si>
  <si>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</si>
  <si>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</si>
  <si>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</si>
  <si>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</si>
  <si>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</si>
  <si>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</si>
  <si>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</si>
  <si>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</si>
  <si>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</si>
  <si>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</si>
  <si>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</si>
  <si>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</si>
  <si>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</si>
  <si>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</si>
  <si>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</si>
  <si>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</si>
  <si>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</si>
  <si>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</si>
  <si>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</si>
  <si>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</si>
  <si>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</si>
  <si>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</si>
  <si>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</si>
  <si>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</si>
  <si>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</si>
  <si>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</si>
  <si>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</si>
  <si>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</si>
  <si>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</si>
  <si>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</si>
  <si>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</si>
  <si>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</si>
  <si>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</si>
  <si>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</si>
  <si>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</si>
  <si>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</si>
  <si>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</si>
  <si>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</si>
  <si>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</si>
  <si>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</si>
  <si>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</si>
  <si>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</si>
  <si>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</si>
  <si>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</si>
  <si>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</si>
  <si>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</si>
  <si>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</si>
  <si>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</si>
  <si>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</si>
  <si>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</si>
  <si>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</si>
  <si>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</si>
  <si>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</si>
  <si>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</si>
  <si>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</si>
  <si>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</si>
  <si>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</si>
  <si>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</si>
  <si>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</si>
  <si>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</si>
  <si>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</si>
  <si>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</si>
  <si>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</si>
  <si>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</si>
  <si>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</si>
  <si>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</si>
  <si>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</si>
  <si>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</si>
  <si>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</si>
  <si>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</si>
  <si>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</si>
  <si>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</si>
  <si>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</si>
  <si>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</si>
  <si>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</si>
  <si>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</si>
  <si>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</si>
  <si>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</si>
  <si>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</si>
  <si>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</si>
  <si>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</si>
  <si>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</si>
  <si>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</si>
  <si>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</si>
  <si>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</si>
  <si>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</si>
  <si>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</si>
  <si>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</si>
  <si>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</si>
  <si>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</si>
  <si>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</si>
  <si>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</si>
  <si>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</si>
  <si>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</si>
  <si>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</si>
  <si>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</si>
  <si>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</si>
  <si>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</si>
  <si>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</si>
  <si>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</si>
  <si>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</si>
  <si>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</si>
  <si>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</si>
  <si>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</si>
  <si>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</si>
  <si>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</si>
  <si>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</si>
  <si>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</si>
  <si>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</si>
  <si>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</si>
  <si>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</si>
  <si>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</si>
  <si>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</si>
  <si>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</si>
  <si>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</si>
  <si>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</si>
  <si>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</si>
  <si>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</si>
  <si>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</si>
  <si>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</si>
  <si>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</si>
  <si>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</si>
  <si>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</si>
  <si>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</si>
  <si>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</si>
  <si>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</si>
  <si>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</si>
  <si>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</si>
  <si>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</si>
  <si>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</si>
  <si>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</si>
  <si>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</si>
  <si>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</si>
  <si>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</si>
  <si>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</si>
  <si>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</si>
  <si>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</si>
  <si>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</si>
  <si>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</si>
  <si>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</si>
  <si>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</si>
  <si>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</si>
  <si>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</si>
  <si>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</si>
  <si>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</si>
  <si>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</si>
  <si>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</si>
  <si>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</si>
  <si>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</si>
  <si>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</si>
  <si>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</si>
  <si>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</si>
  <si>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</si>
  <si>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</si>
  <si>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</si>
  <si>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</si>
  <si>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</si>
  <si>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</si>
  <si>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</si>
  <si>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</si>
  <si>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</si>
  <si>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</si>
  <si>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</si>
  <si>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</si>
  <si>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</si>
  <si>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</si>
  <si>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</si>
  <si>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</si>
  <si>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</si>
  <si>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</si>
  <si>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</si>
  <si>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</si>
  <si>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</si>
  <si>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</si>
  <si>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</si>
  <si>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</si>
  <si>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</si>
  <si>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</si>
  <si>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</si>
  <si>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</si>
  <si>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</si>
  <si>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</si>
  <si>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</si>
  <si>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</si>
  <si>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</si>
  <si>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</si>
  <si>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</si>
  <si>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</si>
  <si>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</si>
  <si>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</si>
  <si>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</si>
  <si>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</si>
  <si>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</si>
  <si>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</si>
  <si>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</si>
  <si>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</si>
  <si>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</si>
  <si>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</si>
  <si>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</si>
  <si>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</si>
  <si>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</si>
  <si>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</si>
  <si>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</si>
  <si>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</si>
  <si>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</si>
  <si>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</si>
  <si>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</si>
  <si>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</si>
  <si>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</si>
  <si>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</si>
  <si>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</si>
  <si>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</si>
  <si>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</si>
  <si>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</si>
  <si>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</si>
  <si>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</si>
  <si>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</si>
  <si>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</si>
  <si>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</si>
  <si>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</si>
  <si>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</si>
  <si>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</si>
  <si>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</si>
  <si>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</si>
  <si>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</si>
  <si>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</si>
  <si>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</si>
  <si>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</si>
  <si>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</si>
  <si>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</si>
  <si>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</si>
  <si>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</si>
  <si>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</si>
  <si>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</si>
  <si>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</si>
  <si>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</si>
  <si>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</si>
  <si>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</si>
  <si>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</si>
  <si>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</si>
  <si>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</si>
  <si>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</si>
  <si>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</si>
  <si>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</si>
  <si>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</si>
  <si>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</si>
  <si>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</si>
  <si>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</si>
  <si>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</si>
  <si>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</si>
  <si>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</si>
  <si>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</si>
  <si>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</si>
  <si>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</si>
  <si>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</si>
  <si>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</si>
  <si>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</si>
  <si>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</si>
  <si>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</si>
  <si>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</si>
  <si>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</si>
  <si>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</si>
  <si>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</si>
  <si>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</si>
  <si>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</si>
  <si>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</si>
  <si>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</si>
  <si>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</si>
  <si>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</si>
  <si>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</si>
  <si>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</si>
  <si>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</si>
  <si>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</si>
  <si>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</si>
  <si>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</si>
  <si>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</si>
  <si>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</si>
  <si>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</si>
  <si>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</si>
  <si>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</si>
  <si>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</si>
  <si>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</si>
  <si>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</si>
  <si>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</si>
  <si>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</si>
  <si>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</si>
  <si>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</si>
  <si>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</si>
  <si>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</si>
  <si>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</si>
  <si>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</si>
  <si>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</si>
  <si>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</si>
  <si>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</si>
  <si>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</si>
  <si>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</si>
  <si>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</si>
  <si>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</si>
  <si>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</si>
  <si>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</si>
  <si>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</si>
  <si>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</si>
  <si>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</si>
  <si>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</si>
  <si>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</si>
  <si>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</si>
  <si>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</si>
  <si>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</si>
  <si>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</si>
  <si>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</si>
  <si>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</si>
  <si>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</si>
  <si>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</si>
  <si>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</si>
  <si>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</si>
  <si>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</si>
  <si>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</si>
  <si>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</si>
  <si>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</si>
  <si>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</si>
  <si>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</si>
  <si>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</si>
  <si>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</si>
  <si>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</si>
  <si>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</si>
  <si>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</si>
  <si>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</si>
  <si>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</si>
  <si>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</si>
  <si>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</si>
  <si>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</si>
  <si>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</si>
  <si>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</si>
  <si>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</si>
  <si>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</si>
  <si>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</si>
  <si>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</si>
  <si>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</si>
  <si>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</si>
  <si>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</si>
  <si>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</si>
  <si>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</si>
  <si>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</si>
  <si>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</si>
  <si>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</si>
  <si>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</si>
  <si>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</si>
  <si>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</si>
  <si>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</si>
  <si>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</si>
  <si>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</si>
  <si>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</si>
  <si>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</si>
  <si>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</si>
  <si>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</si>
  <si>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</si>
  <si>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</si>
  <si>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</si>
  <si>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</si>
  <si>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</si>
  <si>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</si>
  <si>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</si>
  <si>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</si>
  <si>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</si>
  <si>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</si>
  <si>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</si>
  <si>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</si>
  <si>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</si>
  <si>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</si>
  <si>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</si>
  <si>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</si>
  <si>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</si>
  <si>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</si>
  <si>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</si>
  <si>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</si>
  <si>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</si>
  <si>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</si>
  <si>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</si>
  <si>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</si>
  <si>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</si>
  <si>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</si>
  <si>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</si>
  <si>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</si>
  <si>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</si>
  <si>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</si>
  <si>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</si>
  <si>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</si>
  <si>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</si>
  <si>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</si>
  <si>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</si>
  <si>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</si>
  <si>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</si>
  <si>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</si>
  <si>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</si>
  <si>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</si>
  <si>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</si>
  <si>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</si>
  <si>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</si>
  <si>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</si>
  <si>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</si>
  <si>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</si>
  <si>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</si>
  <si>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</si>
  <si>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</si>
  <si>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</si>
  <si>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</si>
  <si>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</si>
  <si>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</si>
  <si>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</si>
  <si>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</si>
  <si>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</si>
  <si>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</si>
  <si>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</si>
  <si>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</si>
  <si>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</si>
  <si>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</si>
  <si>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</si>
  <si>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</si>
  <si>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</si>
  <si>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</si>
  <si>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</si>
  <si>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</si>
  <si>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</si>
  <si>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</si>
  <si>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</si>
  <si>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</si>
  <si>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</si>
  <si>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</si>
  <si>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</si>
  <si>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</si>
  <si>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</si>
  <si>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</si>
  <si>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</si>
  <si>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</si>
  <si>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</si>
  <si>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</si>
  <si>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</si>
  <si>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</si>
  <si>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</si>
  <si>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</si>
  <si>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</si>
  <si>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</si>
  <si>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</si>
  <si>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</si>
  <si>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</si>
  <si>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</si>
  <si>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</si>
  <si>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</si>
  <si>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</si>
  <si>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</si>
  <si>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</si>
  <si>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</si>
  <si>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</si>
  <si>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</si>
  <si>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</si>
  <si>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</si>
  <si>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</si>
  <si>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</si>
  <si>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</si>
  <si>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</si>
  <si>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</si>
  <si>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</si>
  <si>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</si>
  <si>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</si>
  <si>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</si>
  <si>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</si>
  <si>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</si>
  <si>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</si>
  <si>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</si>
  <si>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</si>
  <si>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</si>
  <si>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</si>
  <si>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</si>
  <si>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</si>
  <si>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</si>
  <si>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</si>
  <si>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</si>
  <si>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</si>
  <si>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</si>
  <si>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</si>
  <si>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</si>
  <si>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</si>
  <si>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</si>
  <si>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</si>
  <si>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</si>
  <si>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</si>
  <si>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</si>
  <si>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</si>
  <si>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</si>
  <si>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</si>
  <si>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</si>
  <si>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</si>
  <si>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</si>
  <si>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</si>
  <si>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</si>
  <si>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</si>
  <si>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</si>
  <si>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</si>
  <si>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</si>
  <si>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</si>
  <si>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</si>
  <si>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</si>
  <si>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</si>
  <si>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</si>
  <si>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</si>
  <si>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</si>
  <si>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</si>
  <si>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</si>
  <si>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</si>
  <si>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</si>
  <si>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</si>
  <si>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</si>
  <si>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</si>
  <si>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</si>
  <si>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</si>
  <si>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</si>
  <si>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</si>
  <si>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</si>
  <si>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</si>
  <si>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</si>
  <si>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</si>
  <si>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</si>
  <si>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</si>
  <si>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</si>
  <si>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</si>
  <si>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</si>
  <si>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</si>
  <si>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</si>
  <si>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</si>
  <si>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</si>
  <si>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</si>
  <si>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</si>
  <si>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</si>
  <si>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</si>
  <si>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</si>
  <si>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</si>
  <si>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</si>
  <si>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</si>
  <si>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</si>
  <si>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</si>
  <si>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</si>
  <si>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</si>
  <si>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</si>
  <si>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</si>
  <si>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</si>
  <si>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</si>
  <si>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</si>
  <si>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</si>
  <si>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</si>
  <si>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</si>
  <si>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</si>
  <si>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</si>
  <si>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</si>
  <si>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</si>
  <si>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</si>
  <si>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</si>
  <si>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</si>
  <si>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</si>
  <si>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</si>
  <si>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</si>
  <si>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</si>
  <si>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</si>
  <si>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</si>
  <si>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</si>
  <si>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</si>
  <si>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</si>
  <si>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</si>
  <si>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</si>
  <si>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</si>
  <si>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</si>
  <si>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</si>
  <si>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</si>
  <si>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</si>
  <si>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</si>
  <si>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</si>
  <si>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</si>
  <si>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</si>
  <si>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</si>
  <si>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</si>
  <si>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</si>
  <si>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</si>
  <si>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</si>
  <si>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</si>
  <si>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</si>
  <si>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</si>
  <si>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</si>
  <si>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</si>
  <si>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</si>
  <si>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</si>
  <si>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</si>
  <si>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</si>
  <si>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</si>
  <si>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</si>
  <si>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</si>
  <si>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</si>
  <si>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</si>
  <si>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</si>
  <si>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</si>
  <si>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</si>
  <si>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</si>
  <si>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</si>
  <si>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</si>
  <si>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</si>
  <si>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</si>
  <si>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</si>
  <si>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</si>
  <si>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</si>
  <si>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</si>
  <si>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</si>
  <si>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</si>
  <si>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</si>
  <si>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</si>
  <si>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</si>
  <si>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</si>
  <si>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</si>
  <si>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</si>
  <si>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</si>
  <si>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</si>
  <si>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</si>
  <si>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</si>
  <si>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</si>
  <si>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</si>
  <si>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</si>
  <si>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</si>
  <si>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</si>
  <si>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</si>
  <si>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</si>
  <si>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</si>
  <si>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</si>
  <si>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</si>
  <si>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</si>
  <si>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</si>
  <si>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</si>
  <si>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</si>
  <si>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</si>
  <si>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</si>
  <si>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</si>
  <si>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</si>
  <si>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</si>
  <si>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</si>
  <si>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</si>
  <si>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</si>
  <si>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</si>
  <si>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</si>
  <si>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</si>
  <si>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</si>
  <si>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</si>
  <si>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</si>
  <si>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</si>
  <si>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</si>
  <si>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</si>
  <si>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</si>
  <si>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</si>
  <si>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</si>
  <si>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</si>
  <si>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</si>
  <si>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</si>
  <si>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</si>
  <si>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</si>
  <si>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</si>
  <si>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</si>
  <si>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</si>
  <si>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</si>
  <si>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</si>
  <si>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</si>
  <si>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</si>
  <si>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</si>
  <si>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</si>
  <si>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</si>
  <si>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</si>
  <si>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</si>
  <si>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</si>
  <si>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</si>
  <si>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</si>
  <si>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</si>
  <si>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</si>
  <si>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</si>
  <si>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</si>
  <si>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</si>
  <si>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</si>
  <si>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</si>
  <si>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</si>
  <si>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</si>
  <si>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</si>
  <si>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</si>
  <si>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</si>
  <si>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</si>
  <si>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</si>
  <si>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</si>
  <si>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</si>
  <si>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</si>
  <si>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</si>
  <si>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</si>
  <si>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</si>
  <si>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</si>
  <si>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</si>
  <si>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</si>
  <si>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</si>
  <si>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</si>
  <si>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</si>
  <si>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</si>
  <si>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</si>
  <si>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</si>
  <si>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</si>
  <si>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</si>
  <si>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</si>
  <si>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</si>
  <si>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</si>
  <si>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</si>
  <si>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</si>
  <si>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</si>
  <si>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</si>
  <si>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</si>
  <si>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</si>
  <si>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</si>
  <si>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</si>
  <si>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</si>
  <si>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</si>
  <si>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</si>
  <si>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</si>
  <si>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</si>
  <si>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</si>
  <si>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</si>
  <si>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</si>
  <si>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</si>
  <si>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</si>
  <si>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</si>
  <si>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</si>
  <si>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</si>
  <si>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</si>
  <si>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</si>
  <si>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</si>
  <si>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</si>
  <si>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</si>
  <si>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</si>
  <si>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</si>
  <si>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</si>
  <si>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</si>
  <si>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</si>
  <si>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</si>
  <si>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</si>
  <si>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</si>
  <si>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</si>
  <si>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</si>
  <si>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</si>
  <si>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</si>
  <si>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</si>
  <si>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</si>
  <si>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</si>
  <si>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</si>
  <si>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</si>
  <si>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</si>
  <si>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</si>
  <si>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</si>
  <si>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</si>
  <si>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</si>
  <si>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</si>
  <si>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</si>
  <si>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</si>
  <si>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</si>
  <si>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</si>
  <si>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</si>
  <si>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</si>
  <si>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</si>
  <si>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</si>
  <si>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</si>
  <si>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</si>
  <si>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</si>
  <si>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</si>
  <si>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</si>
  <si>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</si>
  <si>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</si>
  <si>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</si>
  <si>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</si>
  <si>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</si>
  <si>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</si>
  <si>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</si>
  <si>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</si>
  <si>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</si>
  <si>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</si>
  <si>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</si>
  <si>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</si>
  <si>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</si>
  <si>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</si>
  <si>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</si>
  <si>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</si>
  <si>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</si>
  <si>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</si>
  <si>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</si>
  <si>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</si>
  <si>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</si>
  <si>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</si>
  <si>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</si>
  <si>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</si>
  <si>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</si>
  <si>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</si>
  <si>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</si>
  <si>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</si>
  <si>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</si>
  <si>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</si>
  <si>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</si>
  <si>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</si>
  <si>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</si>
  <si>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</si>
  <si>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</si>
  <si>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</si>
  <si>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</si>
  <si>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</si>
  <si>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</si>
  <si>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</si>
  <si>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</si>
  <si>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</si>
  <si>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</si>
  <si>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</si>
  <si>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</si>
  <si>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</si>
  <si>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</si>
  <si>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</si>
  <si>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</si>
  <si>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</si>
  <si>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</si>
  <si>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</si>
  <si>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</si>
  <si>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</si>
  <si>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</si>
  <si>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</si>
  <si>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</si>
  <si>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</si>
  <si>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</si>
  <si>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</si>
  <si>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</si>
  <si>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</si>
  <si>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</si>
  <si>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</si>
  <si>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</si>
  <si>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</si>
  <si>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</si>
  <si>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</si>
  <si>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</si>
  <si>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</si>
  <si>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</si>
  <si>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</si>
  <si>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</si>
  <si>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</si>
  <si>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</si>
  <si>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</si>
  <si>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</si>
  <si>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</si>
  <si>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</si>
  <si>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</si>
  <si>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</si>
  <si>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</si>
  <si>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</si>
  <si>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</si>
  <si>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</si>
  <si>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</si>
  <si>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</si>
  <si>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</si>
  <si>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</si>
  <si>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</si>
  <si>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</si>
  <si>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</si>
  <si>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</si>
  <si>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</si>
  <si>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</si>
  <si>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</si>
  <si>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</si>
  <si>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</si>
  <si>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</si>
  <si>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</si>
  <si>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</si>
  <si>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</si>
  <si>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</si>
  <si>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</si>
  <si>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</si>
  <si>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</si>
  <si>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</si>
  <si>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</si>
  <si>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</si>
  <si>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</si>
  <si>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</si>
  <si>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</si>
  <si>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</si>
  <si>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</si>
  <si>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</si>
  <si>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</si>
  <si>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</si>
  <si>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</si>
  <si>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</si>
  <si>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</si>
  <si>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</si>
  <si>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</si>
  <si>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</si>
  <si>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</si>
  <si>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</si>
  <si>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</si>
  <si>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</si>
  <si>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</si>
  <si>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</si>
  <si>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</si>
  <si>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</si>
  <si>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</si>
  <si>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</si>
  <si>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</si>
  <si>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</si>
  <si>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</si>
  <si>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</si>
  <si>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</si>
  <si>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</si>
  <si>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</si>
  <si>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</si>
  <si>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</si>
  <si>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</si>
  <si>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</si>
  <si>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</si>
  <si>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</si>
  <si>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</si>
  <si>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</si>
  <si>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</si>
  <si>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</si>
  <si>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</si>
  <si>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</si>
  <si>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</si>
  <si>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</si>
  <si>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</si>
  <si>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</si>
  <si>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</si>
  <si>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</si>
  <si>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</si>
  <si>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</si>
  <si>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</si>
  <si>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</si>
  <si>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</si>
  <si>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</si>
  <si>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</si>
  <si>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</si>
  <si>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</si>
  <si>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</si>
  <si>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</si>
  <si>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</si>
  <si>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</si>
  <si>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</si>
  <si>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</si>
  <si>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</si>
  <si>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</si>
  <si>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</si>
  <si>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</si>
  <si>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</si>
  <si>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</si>
  <si>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</si>
  <si>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</si>
  <si>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</si>
  <si>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</si>
  <si>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</si>
  <si>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</si>
  <si>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</si>
  <si>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</si>
  <si>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</si>
  <si>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</si>
  <si>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</si>
  <si>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</si>
  <si>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</si>
  <si>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</si>
  <si>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</si>
  <si>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</si>
  <si>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</si>
  <si>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</si>
  <si>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</si>
  <si>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</si>
  <si>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</si>
  <si>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</si>
  <si>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</si>
  <si>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</si>
  <si>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</si>
  <si>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</si>
  <si>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</si>
  <si>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</si>
  <si>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</si>
  <si>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</si>
  <si>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</si>
  <si>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</si>
  <si>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</si>
  <si>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</si>
  <si>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</si>
  <si>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</si>
  <si>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</si>
  <si>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</si>
  <si>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</si>
  <si>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</si>
  <si>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</si>
  <si>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</si>
  <si>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</si>
  <si>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</si>
  <si>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</si>
  <si>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</si>
  <si>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</si>
  <si>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</si>
  <si>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</si>
  <si>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</si>
  <si>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</si>
  <si>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</si>
  <si>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</si>
  <si>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</si>
  <si>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</si>
  <si>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</si>
  <si>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</si>
  <si>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</si>
  <si>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</si>
  <si>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</si>
  <si>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</si>
  <si>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</si>
  <si>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</si>
  <si>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</si>
  <si>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</si>
  <si>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</si>
  <si>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</si>
  <si>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</si>
  <si>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</si>
  <si>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</si>
  <si>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</si>
  <si>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</si>
  <si>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</si>
  <si>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</si>
  <si>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</si>
  <si>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</si>
  <si>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</si>
  <si>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</si>
  <si>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</si>
  <si>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</si>
  <si>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</si>
  <si>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</si>
  <si>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</si>
  <si>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</si>
  <si>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</si>
  <si>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</si>
  <si>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</si>
  <si>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</si>
  <si>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</si>
  <si>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</si>
  <si>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</si>
  <si>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</si>
  <si>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</si>
  <si>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</si>
  <si>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</si>
  <si>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</si>
  <si>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</si>
  <si>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</si>
  <si>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</si>
  <si>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</si>
  <si>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</si>
  <si>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</si>
  <si>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</si>
  <si>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</si>
  <si>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</si>
  <si>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</si>
  <si>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</si>
  <si>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</si>
  <si>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</si>
  <si>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</si>
  <si>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</si>
  <si>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</si>
  <si>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</si>
  <si>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</si>
  <si>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</si>
  <si>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</si>
  <si>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</si>
  <si>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</si>
  <si>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</si>
  <si>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</si>
  <si>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</si>
  <si>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</si>
  <si>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</si>
  <si>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</si>
  <si>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</si>
  <si>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</si>
  <si>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</si>
  <si>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</si>
  <si>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</si>
  <si>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</si>
  <si>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</si>
  <si>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</si>
  <si>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</si>
  <si>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</si>
  <si>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</si>
  <si>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</si>
  <si>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</si>
  <si>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</si>
  <si>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</si>
  <si>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</si>
  <si>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</si>
  <si>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</si>
  <si>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</si>
  <si>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</si>
  <si>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</si>
  <si>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</si>
  <si>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</si>
  <si>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</si>
  <si>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</si>
  <si>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</si>
  <si>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</si>
  <si>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</si>
  <si>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</si>
  <si>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</si>
  <si>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</si>
  <si>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</si>
  <si>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</si>
  <si>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</si>
  <si>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</si>
  <si>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</si>
  <si>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</si>
  <si>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</si>
  <si>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</si>
  <si>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</si>
  <si>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</si>
  <si>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</si>
  <si>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</si>
  <si>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</si>
  <si>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</si>
  <si>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</si>
  <si>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</si>
  <si>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</si>
  <si>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</si>
  <si>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</si>
  <si>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</si>
  <si>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</si>
  <si>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</si>
  <si>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</si>
  <si>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</si>
  <si>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</si>
  <si>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</si>
  <si>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</si>
  <si>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</si>
  <si>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</si>
  <si>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</si>
  <si>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</si>
  <si>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</si>
  <si>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</si>
  <si>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</si>
  <si>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</si>
  <si>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</si>
  <si>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</si>
  <si>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</si>
  <si>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</si>
  <si>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</si>
  <si>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</si>
  <si>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</si>
  <si>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</si>
  <si>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</si>
  <si>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</si>
  <si>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</si>
  <si>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</si>
  <si>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</si>
  <si>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</si>
  <si>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</si>
  <si>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</si>
  <si>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</si>
  <si>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</si>
  <si>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</si>
  <si>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</si>
  <si>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</si>
  <si>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</si>
  <si>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</si>
  <si>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</si>
  <si>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</si>
  <si>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</si>
  <si>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</si>
  <si>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</si>
  <si>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</si>
  <si>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</si>
  <si>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</si>
  <si>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</si>
  <si>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</si>
  <si>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</si>
  <si>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</si>
  <si>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</si>
  <si>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</si>
  <si>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</si>
  <si>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</si>
  <si>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</si>
  <si>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</si>
  <si>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</si>
  <si>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</si>
  <si>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</si>
  <si>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</si>
  <si>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</si>
  <si>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</si>
  <si>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</si>
  <si>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</si>
  <si>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</si>
  <si>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</si>
  <si>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</si>
  <si>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</si>
  <si>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</si>
  <si>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</si>
  <si>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</si>
  <si>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</si>
  <si>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</si>
  <si>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</si>
  <si>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</si>
  <si>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</si>
  <si>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</si>
  <si>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</si>
  <si>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</si>
  <si>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</si>
  <si>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</si>
  <si>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</si>
  <si>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</si>
  <si>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</si>
  <si>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</si>
  <si>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</si>
  <si>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</si>
  <si>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</si>
  <si>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</si>
  <si>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</si>
  <si>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</si>
  <si>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</si>
  <si>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</si>
  <si>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</si>
  <si>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</si>
  <si>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</si>
  <si>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</si>
  <si>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</si>
  <si>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</si>
  <si>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</si>
  <si>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</si>
  <si>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</si>
  <si>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</si>
  <si>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</si>
  <si>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</si>
  <si>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</si>
  <si>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</si>
  <si>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</si>
  <si>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</si>
  <si>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</si>
  <si>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</si>
  <si>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</si>
  <si>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</si>
  <si>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</si>
  <si>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</si>
  <si>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</si>
  <si>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</si>
  <si>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</si>
  <si>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</si>
  <si>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</si>
  <si>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</si>
  <si>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</si>
  <si>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</si>
  <si>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</si>
  <si>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</si>
  <si>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</si>
  <si>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</si>
  <si>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</si>
  <si>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</si>
  <si>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</si>
  <si>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</si>
  <si>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</si>
  <si>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</si>
  <si>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</si>
  <si>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</si>
  <si>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</si>
  <si>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</si>
  <si>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</si>
  <si>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</si>
  <si>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</si>
  <si>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</si>
  <si>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</si>
  <si>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</si>
  <si>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</si>
  <si>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</si>
  <si>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</si>
  <si>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</si>
  <si>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</si>
  <si>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</si>
  <si>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</si>
  <si>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</si>
  <si>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</si>
  <si>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</si>
  <si>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</si>
  <si>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</si>
  <si>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</si>
  <si>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</si>
  <si>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</si>
  <si>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</si>
  <si>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</si>
  <si>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</si>
  <si>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</si>
  <si>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</si>
  <si>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</si>
  <si>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</si>
  <si>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</si>
  <si>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</si>
  <si>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</si>
  <si>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</si>
  <si>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</si>
  <si>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</si>
  <si>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</si>
  <si>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</si>
  <si>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</si>
  <si>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</si>
  <si>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</si>
  <si>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</si>
  <si>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</si>
  <si>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</si>
  <si>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</si>
  <si>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</si>
  <si>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</si>
  <si>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</si>
  <si>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</si>
  <si>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</si>
  <si>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</si>
  <si>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</si>
  <si>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</si>
  <si>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</si>
  <si>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</si>
  <si>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</si>
  <si>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</si>
  <si>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</si>
  <si>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</si>
  <si>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</si>
  <si>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</si>
  <si>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</si>
  <si>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</si>
  <si>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</si>
  <si>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</si>
  <si>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</si>
  <si>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</si>
  <si>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</si>
  <si>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</si>
  <si>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</si>
  <si>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</si>
  <si>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</si>
  <si>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</si>
  <si>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</si>
  <si>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</si>
  <si>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</si>
  <si>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</si>
  <si>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</si>
  <si>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</si>
  <si>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</si>
  <si>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</si>
  <si>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</si>
  <si>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</si>
  <si>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</si>
  <si>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</si>
  <si>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</si>
  <si>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</si>
  <si>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</si>
  <si>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</si>
  <si>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</si>
  <si>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</si>
  <si>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</si>
  <si>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</si>
  <si>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</si>
  <si>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</si>
  <si>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</si>
  <si>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</si>
  <si>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</si>
  <si>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</si>
  <si>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</si>
  <si>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</si>
  <si>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</si>
  <si>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</si>
  <si>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</si>
  <si>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</si>
  <si>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</si>
  <si>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</si>
  <si>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</si>
  <si>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</si>
  <si>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</si>
  <si>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</si>
  <si>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</si>
  <si>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</si>
  <si>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</si>
  <si>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</si>
  <si>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</si>
  <si>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</si>
  <si>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</si>
  <si>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</si>
  <si>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</si>
  <si>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</si>
  <si>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</si>
  <si>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</si>
  <si>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</si>
  <si>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</si>
  <si>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</si>
  <si>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</si>
  <si>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</si>
  <si>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</si>
  <si>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</si>
  <si>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</si>
  <si>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</si>
  <si>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</si>
  <si>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</si>
  <si>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</si>
  <si>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</si>
  <si>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</si>
  <si>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</si>
  <si>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</si>
  <si>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</si>
  <si>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</si>
  <si>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</si>
  <si>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</si>
  <si>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</si>
  <si>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</si>
  <si>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</si>
  <si>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</si>
  <si>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</si>
  <si>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</si>
  <si>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</si>
  <si>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</si>
  <si>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</si>
  <si>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</si>
  <si>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</si>
  <si>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</si>
  <si>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</si>
  <si>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</si>
  <si>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</si>
  <si>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</si>
  <si>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</si>
  <si>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</si>
  <si>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</si>
  <si>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</si>
  <si>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</si>
  <si>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</si>
  <si>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</si>
  <si>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</si>
  <si>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</si>
  <si>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</si>
  <si>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</si>
  <si>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</si>
  <si>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</si>
  <si>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</si>
  <si>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</si>
  <si>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</si>
  <si>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</si>
  <si>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</si>
  <si>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</si>
  <si>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</si>
  <si>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</si>
  <si>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</si>
  <si>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</si>
  <si>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</si>
  <si>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</si>
  <si>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</si>
  <si>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</si>
  <si>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</si>
  <si>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</si>
  <si>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</si>
  <si>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</si>
  <si>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</si>
  <si>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</si>
  <si>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</si>
  <si>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</si>
  <si>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</si>
  <si>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</si>
  <si>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</si>
  <si>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</si>
  <si>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</si>
  <si>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</si>
  <si>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</si>
  <si>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</si>
  <si>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</si>
  <si>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</si>
  <si>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</si>
  <si>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</si>
  <si>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</si>
  <si>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</si>
  <si>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</si>
  <si>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</si>
  <si>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</si>
  <si>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</si>
  <si>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</si>
  <si>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</si>
  <si>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</si>
  <si>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</si>
  <si>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</si>
  <si>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</si>
  <si>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</si>
  <si>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</si>
  <si>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</si>
  <si>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</si>
  <si>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</si>
  <si>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</si>
  <si>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</si>
  <si>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</si>
  <si>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</si>
  <si>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</si>
  <si>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</si>
  <si>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</si>
  <si>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</si>
  <si>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</si>
  <si>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</si>
  <si>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</si>
  <si>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</si>
  <si>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</si>
  <si>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</si>
  <si>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</si>
  <si>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</si>
  <si>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</si>
  <si>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</si>
  <si>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</si>
  <si>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</si>
  <si>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</si>
  <si>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</si>
  <si>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</si>
  <si>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</si>
  <si>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</si>
  <si>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</si>
  <si>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</si>
  <si>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</si>
  <si>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</si>
  <si>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</si>
  <si>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</si>
  <si>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</si>
  <si>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</si>
  <si>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</si>
  <si>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</si>
  <si>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</si>
  <si>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</si>
  <si>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</si>
  <si>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</si>
  <si>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</si>
  <si>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</si>
  <si>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</si>
  <si>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</si>
  <si>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</si>
  <si>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</si>
  <si>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</si>
  <si>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</si>
  <si>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</si>
  <si>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</si>
  <si>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</si>
  <si>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</si>
  <si>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</si>
  <si>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</si>
  <si>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</si>
  <si>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</si>
  <si>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</si>
  <si>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</si>
  <si>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</si>
  <si>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</si>
  <si>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</si>
  <si>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</si>
  <si>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</si>
  <si>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</si>
  <si>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</si>
  <si>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</si>
  <si>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</si>
  <si>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</si>
  <si>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</si>
  <si>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</si>
  <si>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</si>
  <si>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</si>
  <si>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</si>
  <si>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</si>
  <si>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</si>
  <si>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</si>
  <si>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</si>
  <si>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</si>
  <si>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</si>
  <si>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</si>
  <si>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</si>
  <si>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</si>
  <si>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</si>
  <si>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</si>
  <si>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</si>
  <si>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</si>
  <si>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</si>
  <si>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</si>
  <si>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</si>
  <si>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</si>
  <si>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</si>
  <si>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</si>
  <si>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</si>
  <si>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</si>
  <si>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</si>
  <si>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</si>
  <si>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</si>
  <si>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</si>
  <si>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</si>
  <si>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</si>
  <si>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</si>
  <si>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</si>
  <si>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</si>
  <si>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</si>
  <si>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</si>
  <si>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</si>
  <si>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</si>
  <si>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</si>
  <si>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</si>
  <si>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</si>
  <si>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</si>
  <si>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</si>
  <si>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</si>
  <si>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</si>
  <si>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</si>
  <si>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</si>
  <si>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</si>
  <si>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</si>
  <si>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</si>
  <si>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</si>
  <si>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</si>
  <si>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</si>
  <si>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</si>
  <si>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</si>
  <si>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</si>
  <si>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</si>
  <si>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</si>
  <si>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</si>
  <si>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</si>
  <si>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</si>
  <si>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</si>
  <si>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</si>
  <si>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</si>
  <si>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</si>
  <si>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</si>
  <si>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</si>
  <si>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</si>
  <si>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</si>
  <si>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</si>
  <si>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</si>
  <si>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</si>
  <si>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</si>
  <si>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</si>
  <si>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</si>
  <si>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</si>
  <si>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</si>
  <si>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</si>
  <si>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</si>
  <si>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</si>
  <si>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</si>
  <si>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</si>
  <si>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</si>
  <si>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</si>
  <si>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</si>
  <si>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</si>
  <si>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</si>
  <si>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</si>
  <si>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</si>
  <si>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</si>
  <si>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</si>
  <si>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</si>
  <si>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</si>
  <si>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</si>
  <si>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</si>
  <si>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</si>
  <si>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</si>
  <si>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</si>
  <si>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</si>
  <si>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</si>
  <si>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</si>
  <si>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</si>
  <si>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</si>
  <si>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</si>
  <si>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</si>
  <si>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</si>
  <si>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</si>
  <si>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</si>
  <si>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</si>
  <si>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</si>
  <si>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</si>
  <si>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</si>
  <si>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</si>
  <si>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</si>
  <si>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</si>
  <si>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</si>
  <si>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</si>
  <si>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</si>
  <si>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</si>
  <si>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</si>
  <si>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</si>
  <si>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</si>
  <si>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</si>
  <si>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</si>
  <si>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</si>
  <si>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</si>
  <si>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</si>
  <si>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</si>
  <si>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</si>
  <si>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</si>
  <si>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</si>
  <si>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</si>
  <si>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</si>
  <si>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</si>
  <si>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</si>
  <si>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</si>
  <si>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</si>
  <si>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</si>
  <si>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</si>
  <si>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</si>
  <si>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</si>
  <si>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</si>
  <si>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</si>
  <si>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</si>
  <si>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</si>
  <si>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</si>
  <si>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</si>
  <si>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</si>
  <si>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</si>
  <si>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</si>
  <si>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</si>
  <si>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</si>
  <si>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</si>
  <si>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</si>
  <si>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</si>
  <si>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</si>
  <si>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</si>
  <si>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</si>
  <si>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</si>
  <si>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</si>
  <si>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</si>
  <si>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</si>
  <si>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</si>
  <si>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</si>
  <si>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</si>
  <si>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</si>
  <si>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</si>
  <si>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</si>
  <si>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</si>
  <si>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</si>
  <si>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</si>
  <si>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</si>
  <si>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</si>
  <si>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</si>
  <si>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</si>
  <si>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</si>
  <si>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</si>
  <si>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</si>
  <si>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</si>
  <si>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</si>
  <si>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</si>
  <si>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</si>
  <si>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</si>
  <si>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</si>
  <si>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</si>
  <si>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</si>
  <si>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</si>
  <si>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</si>
  <si>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</si>
  <si>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</si>
  <si>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</si>
  <si>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</si>
  <si>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</si>
  <si>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</si>
  <si>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</si>
  <si>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</si>
  <si>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</si>
  <si>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</si>
  <si>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</si>
  <si>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</si>
  <si>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</si>
  <si>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</si>
  <si>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</si>
  <si>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</si>
  <si>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</si>
  <si>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</si>
  <si>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</si>
  <si>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</si>
  <si>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</si>
  <si>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</si>
  <si>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</si>
  <si>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</si>
  <si>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</si>
  <si>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</si>
  <si>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</si>
  <si>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</si>
  <si>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</si>
  <si>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</si>
  <si>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</si>
  <si>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</si>
  <si>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</si>
  <si>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</si>
  <si>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</si>
  <si>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</si>
  <si>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</si>
  <si>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</si>
  <si>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</si>
  <si>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</si>
  <si>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</si>
  <si>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</si>
  <si>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</si>
  <si>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</si>
  <si>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</si>
  <si>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</si>
  <si>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</si>
  <si>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</si>
  <si>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</si>
  <si>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</si>
  <si>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</si>
  <si>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</si>
  <si>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</si>
  <si>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</si>
  <si>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</si>
  <si>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</si>
  <si>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</si>
  <si>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</si>
  <si>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</si>
  <si>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</si>
  <si>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</si>
  <si>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</si>
  <si>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</si>
  <si>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</si>
  <si>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</si>
  <si>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</si>
  <si>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</si>
  <si>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</si>
  <si>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</si>
  <si>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</si>
  <si>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</si>
  <si>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</si>
  <si>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</si>
  <si>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</si>
  <si>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</si>
  <si>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</si>
  <si>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</si>
  <si>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</si>
  <si>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</si>
  <si>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</si>
  <si>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</si>
  <si>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</si>
  <si>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</si>
  <si>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</si>
  <si>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</si>
  <si>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</si>
  <si>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</si>
  <si>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</si>
  <si>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</si>
  <si>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</si>
  <si>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</si>
  <si>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</si>
  <si>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</si>
  <si>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</si>
  <si>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</si>
  <si>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</si>
  <si>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</si>
  <si>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</si>
  <si>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</si>
  <si>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</si>
  <si>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</si>
  <si>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</si>
  <si>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</si>
  <si>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</si>
  <si>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</si>
  <si>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</si>
  <si>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</si>
  <si>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</si>
  <si>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</si>
  <si>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</si>
  <si>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</si>
  <si>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</si>
  <si>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</si>
  <si>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</si>
  <si>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</si>
  <si>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</si>
  <si>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</si>
  <si>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</si>
  <si>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</si>
  <si>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</si>
  <si>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</si>
  <si>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</si>
  <si>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</si>
  <si>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</si>
  <si>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</si>
  <si>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</si>
  <si>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</si>
  <si>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</si>
  <si>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</si>
  <si>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</si>
  <si>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</si>
  <si>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</si>
  <si>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</si>
  <si>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</si>
  <si>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</si>
  <si>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</si>
  <si>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</si>
  <si>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</si>
  <si>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</si>
  <si>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</si>
  <si>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</si>
  <si>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</si>
  <si>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</si>
  <si>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</si>
  <si>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</si>
  <si>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</si>
  <si>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</si>
  <si>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</si>
  <si>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</si>
  <si>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</si>
  <si>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</si>
  <si>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</si>
  <si>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</si>
  <si>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</si>
  <si>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</si>
  <si>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</si>
  <si>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</si>
  <si>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</si>
  <si>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</si>
  <si>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</si>
  <si>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</si>
  <si>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</si>
  <si>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</si>
  <si>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</si>
  <si>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</si>
  <si>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</si>
  <si>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</si>
  <si>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</si>
  <si>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</si>
  <si>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</si>
  <si>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</si>
  <si>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</si>
  <si>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</si>
  <si>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</si>
  <si>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</si>
  <si>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</si>
  <si>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</si>
  <si>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</si>
  <si>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</si>
  <si>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</si>
  <si>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</si>
  <si>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</si>
  <si>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</si>
  <si>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</si>
  <si>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</si>
  <si>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</si>
  <si>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</si>
  <si>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</si>
  <si>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</si>
  <si>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</si>
  <si>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</si>
  <si>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</si>
  <si>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</si>
  <si>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</si>
  <si>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</si>
  <si>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</si>
  <si>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</si>
  <si>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</si>
  <si>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</si>
  <si>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</si>
  <si>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</si>
  <si>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</si>
  <si>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</si>
  <si>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</si>
  <si>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</si>
  <si>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</si>
  <si>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</si>
  <si>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</si>
  <si>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</si>
  <si>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</si>
  <si>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</si>
  <si>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</si>
  <si>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</si>
  <si>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</si>
  <si>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</si>
  <si>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</si>
  <si>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</si>
  <si>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</si>
  <si>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</si>
  <si>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</si>
  <si>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</si>
  <si>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</si>
  <si>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</si>
  <si>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</si>
  <si>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</si>
  <si>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</si>
  <si>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</si>
  <si>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</si>
  <si>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</si>
  <si>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</si>
  <si>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</si>
  <si>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</si>
  <si>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</si>
  <si>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</si>
  <si>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</si>
  <si>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</si>
  <si>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</si>
  <si>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</si>
  <si>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</si>
  <si>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</si>
  <si>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</si>
  <si>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</si>
  <si>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</si>
  <si>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</si>
  <si>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</si>
  <si>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</si>
  <si>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</si>
  <si>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</si>
  <si>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</si>
  <si>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</si>
  <si>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</si>
  <si>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</si>
  <si>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</si>
  <si>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</si>
  <si>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</si>
  <si>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</si>
  <si>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</si>
  <si>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</si>
  <si>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</si>
  <si>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</si>
  <si>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</si>
  <si>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</si>
  <si>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</si>
  <si>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</si>
  <si>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</si>
  <si>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</si>
  <si>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</si>
  <si>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</si>
  <si>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</si>
  <si>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</si>
  <si>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</si>
  <si>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</si>
  <si>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</si>
  <si>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</si>
  <si>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</si>
  <si>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</si>
  <si>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</si>
  <si>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</si>
  <si>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</si>
  <si>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</si>
  <si>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</si>
  <si>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</si>
  <si>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</si>
  <si>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</si>
  <si>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</si>
  <si>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</si>
  <si>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</si>
  <si>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</si>
  <si>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</si>
  <si>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</si>
  <si>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</si>
  <si>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</si>
  <si>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</si>
  <si>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</si>
  <si>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</si>
  <si>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</si>
  <si>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</si>
  <si>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</si>
  <si>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</si>
  <si>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</si>
  <si>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</si>
  <si>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</si>
  <si>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</si>
  <si>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</si>
  <si>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</si>
  <si>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</si>
  <si>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</si>
  <si>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</si>
  <si>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</si>
  <si>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</si>
  <si>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</si>
  <si>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</si>
  <si>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</si>
  <si>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</si>
  <si>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</si>
  <si>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</si>
  <si>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</si>
  <si>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</si>
  <si>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</si>
  <si>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</si>
  <si>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</si>
  <si>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</si>
  <si>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</si>
  <si>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</si>
  <si>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</si>
  <si>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</si>
  <si>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</si>
  <si>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</si>
  <si>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</si>
  <si>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</si>
  <si>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</si>
  <si>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</si>
  <si>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</si>
  <si>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</si>
  <si>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</si>
  <si>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</si>
  <si>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</si>
  <si>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</si>
  <si>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</si>
  <si>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</si>
  <si>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</si>
  <si>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</si>
  <si>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</si>
  <si>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</si>
  <si>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</si>
  <si>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</si>
  <si>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</si>
  <si>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</si>
  <si>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</si>
  <si>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</si>
  <si>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</si>
  <si>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</si>
  <si>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</si>
  <si>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</si>
  <si>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</si>
  <si>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</si>
  <si>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</si>
  <si>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</si>
  <si>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</si>
  <si>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</si>
  <si>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</si>
  <si>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</si>
  <si>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</si>
  <si>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</si>
  <si>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</si>
  <si>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</si>
  <si>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</si>
  <si>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</si>
  <si>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Name</t>
  </si>
  <si>
    <t>Aidan</t>
  </si>
  <si>
    <t>Rylan</t>
  </si>
  <si>
    <t>Kenzie</t>
  </si>
  <si>
    <t>Thomas</t>
  </si>
  <si>
    <t>Heather</t>
  </si>
  <si>
    <t>Joey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</si>
  <si>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</si>
  <si>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</si>
  <si>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</si>
  <si>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</si>
  <si>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</si>
  <si>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</si>
  <si>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</si>
  <si>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</si>
  <si>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Pick</t>
  </si>
  <si>
    <t>Opponent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</si>
</sst>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6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96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4" fillId="0" borderId="0" xfId="0" applyFont="1"/>
    <xf numFmtId="0" fontId="0" fillId="0" borderId="55" xfId="0" applyBorder="1"/>
    <xf numFmtId="0" fontId="24" fillId="11" borderId="56" xfId="0" applyFont="1" applyFill="1" applyBorder="1" applyAlignment="1">
      <alignment horizontal="center"/>
    </xf>
    <xf numFmtId="0" fontId="0" fillId="0" borderId="56" xfId="0" applyBorder="1"/>
    <xf numFmtId="0" fontId="0" fillId="0" borderId="61" xfId="0" applyBorder="1"/>
    <xf numFmtId="0" fontId="0" fillId="0" borderId="63" xfId="0" applyBorder="1"/>
    <xf numFmtId="0" fontId="24" fillId="11" borderId="61" xfId="0" applyFont="1" applyFill="1" applyBorder="1" applyAlignment="1">
      <alignment horizontal="center"/>
    </xf>
    <xf numFmtId="0" fontId="24" fillId="11" borderId="62" xfId="0" applyFont="1" applyFill="1" applyBorder="1" applyAlignment="1">
      <alignment horizontal="center"/>
    </xf>
    <xf numFmtId="0" fontId="24" fillId="11" borderId="63" xfId="0" applyFont="1" applyFill="1" applyBorder="1" applyAlignment="1">
      <alignment horizontal="center"/>
    </xf>
    <xf numFmtId="0" fontId="0" fillId="0" borderId="65" xfId="0" applyBorder="1"/>
    <xf numFmtId="0" fontId="0" fillId="0" borderId="64" xfId="0" applyBorder="1"/>
    <xf numFmtId="0" fontId="0" fillId="0" borderId="60" xfId="0" applyBorder="1" applyAlignment="1">
      <alignment vertical="center"/>
    </xf>
    <xf numFmtId="0" fontId="24" fillId="11" borderId="62" xfId="0" applyFont="1" applyFill="1" applyBorder="1" applyAlignment="1">
      <alignment vertical="center"/>
    </xf>
    <xf numFmtId="0" fontId="24" fillId="11" borderId="0" xfId="0" applyFont="1" applyFill="1" applyAlignment="1">
      <alignment vertical="center"/>
    </xf>
    <xf numFmtId="0" fontId="0" fillId="12" borderId="55" xfId="0" applyFill="1" applyBorder="1"/>
    <xf numFmtId="0" fontId="0" fillId="12" borderId="0" xfId="0" applyFill="1" applyAlignment="1">
      <alignment vertical="center"/>
    </xf>
    <xf numFmtId="0" fontId="0" fillId="12" borderId="56" xfId="0" applyFill="1" applyBorder="1"/>
    <xf numFmtId="0" fontId="0" fillId="12" borderId="0" xfId="0" applyFill="1"/>
    <xf numFmtId="0" fontId="0" fillId="12" borderId="61" xfId="0" applyFill="1" applyBorder="1"/>
    <xf numFmtId="0" fontId="0" fillId="12" borderId="62" xfId="0" applyFill="1" applyBorder="1" applyAlignment="1">
      <alignment vertical="center"/>
    </xf>
    <xf numFmtId="0" fontId="0" fillId="12" borderId="63" xfId="0" applyFill="1" applyBorder="1"/>
    <xf numFmtId="0" fontId="0" fillId="12" borderId="62" xfId="0" applyFill="1" applyBorder="1"/>
    <xf numFmtId="0" fontId="0" fillId="0" borderId="62" xfId="0" applyBorder="1" applyAlignment="1">
      <alignment horizontal="center" vertical="center"/>
    </xf>
    <xf numFmtId="0" fontId="0" fillId="0" borderId="60" xfId="0" applyBorder="1"/>
    <xf numFmtId="0" fontId="24" fillId="11" borderId="64" xfId="0" applyFont="1" applyFill="1" applyBorder="1" applyAlignment="1">
      <alignment horizontal="center"/>
    </xf>
    <xf numFmtId="0" fontId="24" fillId="11" borderId="60" xfId="0" applyFont="1" applyFill="1" applyBorder="1" applyAlignment="1">
      <alignment horizontal="center"/>
    </xf>
    <xf numFmtId="0" fontId="24" fillId="11" borderId="65" xfId="0" applyFont="1" applyFill="1" applyBorder="1" applyAlignment="1">
      <alignment horizontal="center"/>
    </xf>
    <xf numFmtId="0" fontId="24" fillId="11" borderId="64" xfId="0" applyFont="1" applyFill="1" applyBorder="1" applyAlignment="1">
      <alignment horizontal="center" vertical="center"/>
    </xf>
    <xf numFmtId="0" fontId="24" fillId="11" borderId="61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35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BCC1-8E24-6D45-9806-292128B12084}">
  <dimension ref="A1:AG8"/>
  <sheetViews>
    <sheetView tabSelected="1" workbookViewId="0">
      <selection activeCell="N18" sqref="N18"/>
    </sheetView>
  </sheetViews>
  <sheetFormatPr baseColWidth="10" defaultRowHeight="15" x14ac:dyDescent="0.2"/>
  <cols>
    <col min="1" max="1" width="7.1640625" bestFit="1" customWidth="1"/>
    <col min="2" max="2" width="16.83203125" customWidth="1"/>
    <col min="3" max="4" width="2.5" style="82" customWidth="1"/>
    <col min="5" max="6" width="16.83203125" customWidth="1"/>
    <col min="7" max="8" width="2.5" style="82" customWidth="1"/>
    <col min="9" max="10" width="16.83203125" customWidth="1"/>
    <col min="11" max="12" width="2.5" style="82" customWidth="1"/>
    <col min="13" max="14" width="16.83203125" customWidth="1"/>
    <col min="15" max="16" width="2.5" style="82" customWidth="1"/>
    <col min="17" max="18" width="16.83203125" customWidth="1"/>
    <col min="19" max="20" width="2.5" style="82" customWidth="1"/>
    <col min="21" max="22" width="16.83203125" customWidth="1"/>
    <col min="23" max="24" width="2.5" style="82" customWidth="1"/>
    <col min="25" max="26" width="16.83203125" customWidth="1"/>
    <col min="27" max="28" width="2.5" style="82" customWidth="1"/>
    <col min="29" max="30" width="16.83203125" customWidth="1"/>
    <col min="31" max="32" width="2.5" style="82" customWidth="1"/>
    <col min="33" max="33" width="16.83203125" customWidth="1"/>
  </cols>
  <sheetData>
    <row r="1" spans="1:33" s="131" customFormat="1" x14ac:dyDescent="0.2">
      <c r="A1" s="158" t="s">
        <v>3698</v>
      </c>
      <c r="B1" s="155" t="s">
        <v>3705</v>
      </c>
      <c r="C1" s="156"/>
      <c r="D1" s="156"/>
      <c r="E1" s="157"/>
      <c r="F1" s="156" t="s">
        <v>3706</v>
      </c>
      <c r="G1" s="156"/>
      <c r="H1" s="156"/>
      <c r="I1" s="156"/>
      <c r="J1" s="155" t="s">
        <v>3707</v>
      </c>
      <c r="K1" s="156"/>
      <c r="L1" s="156"/>
      <c r="M1" s="156"/>
      <c r="N1" s="155" t="s">
        <v>3708</v>
      </c>
      <c r="O1" s="156"/>
      <c r="P1" s="156"/>
      <c r="Q1" s="157"/>
      <c r="R1" s="156" t="s">
        <v>3709</v>
      </c>
      <c r="S1" s="156"/>
      <c r="T1" s="156"/>
      <c r="U1" s="156"/>
      <c r="V1" s="155" t="s">
        <v>3710</v>
      </c>
      <c r="W1" s="156"/>
      <c r="X1" s="156"/>
      <c r="Y1" s="157"/>
      <c r="Z1" s="156" t="s">
        <v>3711</v>
      </c>
      <c r="AA1" s="156"/>
      <c r="AB1" s="156"/>
      <c r="AC1" s="156"/>
      <c r="AD1" s="155" t="s">
        <v>3712</v>
      </c>
      <c r="AE1" s="156"/>
      <c r="AF1" s="156"/>
      <c r="AG1" s="157"/>
    </row>
    <row r="2" spans="1:33" s="131" customFormat="1" x14ac:dyDescent="0.2">
      <c r="A2" s="159"/>
      <c r="B2" s="137" t="s">
        <v>3713</v>
      </c>
      <c r="C2" s="144"/>
      <c r="D2" s="144"/>
      <c r="E2" s="133" t="s">
        <v>3714</v>
      </c>
      <c r="F2" s="138" t="s">
        <v>3713</v>
      </c>
      <c r="G2" s="143"/>
      <c r="H2" s="143"/>
      <c r="I2" s="138" t="s">
        <v>3714</v>
      </c>
      <c r="J2" s="137" t="s">
        <v>3713</v>
      </c>
      <c r="K2" s="143"/>
      <c r="L2" s="143"/>
      <c r="M2" s="138" t="s">
        <v>3714</v>
      </c>
      <c r="N2" s="137" t="s">
        <v>3713</v>
      </c>
      <c r="O2" s="143"/>
      <c r="P2" s="143"/>
      <c r="Q2" s="139" t="s">
        <v>3714</v>
      </c>
      <c r="R2" s="138" t="s">
        <v>3713</v>
      </c>
      <c r="S2" s="143"/>
      <c r="T2" s="143"/>
      <c r="U2" s="138" t="s">
        <v>3714</v>
      </c>
      <c r="V2" s="137" t="s">
        <v>3713</v>
      </c>
      <c r="W2" s="143"/>
      <c r="X2" s="143"/>
      <c r="Y2" s="139" t="s">
        <v>3714</v>
      </c>
      <c r="Z2" s="138" t="s">
        <v>3713</v>
      </c>
      <c r="AA2" s="143"/>
      <c r="AB2" s="143"/>
      <c r="AC2" s="138" t="s">
        <v>3714</v>
      </c>
      <c r="AD2" s="137" t="s">
        <v>3713</v>
      </c>
      <c r="AE2" s="143"/>
      <c r="AF2" s="143"/>
      <c r="AG2" s="139" t="s">
        <v>3714</v>
      </c>
    </row>
    <row r="3" spans="1:33" x14ac:dyDescent="0.2">
      <c r="A3" s="132" t="s">
        <v>3699</v>
      </c>
      <c r="B3" s="141" t="s">
        <v>2240</v>
      </c>
      <c r="C3" s="142">
        <f>IFERROR(_xlfn.XLOOKUP(B3,Rounds!A$2:A$25,Rounds!B$2:B$25), _xlfn.XLOOKUP(B3,Rounds!D$2:D$25,Rounds!C$2:C$25))</f>
        <v>5</v>
      </c>
      <c r="D3" s="142">
        <f>IFERROR(_xlfn.XLOOKUP(B3,Rounds!A$2:A$25,Rounds!C$2:C$25), _xlfn.XLOOKUP(B3,Rounds!D$2:D$25,Rounds!B$2:B$25))</f>
        <v>1</v>
      </c>
      <c r="E3" s="140" t="str">
        <f>IFERROR(_xlfn.XLOOKUP(B3,Rounds!A$2:A$25,Rounds!D$2:D$25), _xlfn.XLOOKUP(B3,Rounds!D$2:D$25,Rounds!A$2:A$25))</f>
        <v>Tunisia</v>
      </c>
      <c r="F3" s="154" t="s">
        <v>1198</v>
      </c>
      <c r="G3" s="142">
        <f>IFERROR(_xlfn.XLOOKUP(F3,Rounds!E$2:E$25,Rounds!F$2:F$25), _xlfn.XLOOKUP(F3,Rounds!H$2:H$25,Rounds!G$2:G$25))</f>
        <v>2</v>
      </c>
      <c r="H3" s="142">
        <f>IFERROR(_xlfn.XLOOKUP(F3,Rounds!E$2:E$25,Rounds!G$2:G$25), _xlfn.XLOOKUP(F3,Rounds!H$2:H$25,Rounds!F$2:F$25))</f>
        <v>0</v>
      </c>
      <c r="I3" s="140" t="str">
        <f>IFERROR(_xlfn.XLOOKUP(F3,Rounds!E$2:E$25,Rounds!H$2:H$25), _xlfn.XLOOKUP(F3,Rounds!H$2:H$25,Rounds!E$2:E$25))</f>
        <v>Australia</v>
      </c>
      <c r="J3" t="s">
        <v>2201</v>
      </c>
      <c r="K3" s="142">
        <f>IFERROR(_xlfn.XLOOKUP(J3,Rounds!I$2:I$25,Rounds!J$2:J$25), _xlfn.XLOOKUP(J3,Rounds!L$2:L$25,Rounds!K$2:K$25))</f>
        <v>2</v>
      </c>
      <c r="L3" s="142">
        <f>IFERROR(_xlfn.XLOOKUP(J3,Rounds!I$2:I$25,Rounds!K$2:K$25), _xlfn.XLOOKUP(J3,Rounds!L$2:L$25,Rounds!J$2:J$25))</f>
        <v>0</v>
      </c>
      <c r="M3" s="140" t="str">
        <f>IFERROR(_xlfn.XLOOKUP(J3,Rounds!I$2:I$25,Rounds!L$2:L$25), _xlfn.XLOOKUP(J3,Rounds!L$2:L$25,Rounds!I$2:I$25))</f>
        <v>Curaçao</v>
      </c>
      <c r="N3" t="s">
        <v>1739</v>
      </c>
      <c r="O3" s="142">
        <f>IFERROR(_xlfn.XLOOKUP(N3,Rounds!M$2:M$17,Rounds!N$2:N$17), _xlfn.XLOOKUP(N3,Rounds!P$2:P$17,Rounds!O$2:O$17))</f>
        <v>2</v>
      </c>
      <c r="P3" s="142">
        <f>IFERROR(_xlfn.XLOOKUP(N3,Rounds!M$2:M$17,Rounds!O$2:O$17), _xlfn.XLOOKUP(N3,Rounds!P$2:P$17,Rounds!N$2:N$17))</f>
        <v>1</v>
      </c>
      <c r="Q3" s="140" t="str">
        <f>IFERROR(_xlfn.XLOOKUP(N3,Rounds!M$2:M$17,Rounds!P$2:P$17), _xlfn.XLOOKUP(N3,Rounds!P$2:P$17,Rounds!M$2:M$17))</f>
        <v>Japan</v>
      </c>
      <c r="R3" t="s">
        <v>1323</v>
      </c>
      <c r="S3" s="142">
        <f>IFERROR(_xlfn.XLOOKUP(R3,Rounds!Q$2:Q$9,Rounds!R$2:R$9), _xlfn.XLOOKUP(R3,Rounds!T$2:T$9,Rounds!S$2:S$9))</f>
        <v>2</v>
      </c>
      <c r="T3" s="142">
        <f>IFERROR(_xlfn.XLOOKUP(R3,Rounds!Q$2:Q$9,Rounds!S$2:S$9), _xlfn.XLOOKUP(R3,Rounds!T$2:T$9,Rounds!R$2:R$9))</f>
        <v>3</v>
      </c>
      <c r="U3" s="140" t="str">
        <f>IFERROR(_xlfn.XLOOKUP(R3,Rounds!Q$2:Q$9,Rounds!T$2:T$9), _xlfn.XLOOKUP(R3,Rounds!T$2:T$9,Rounds!Q$2:Q$9))</f>
        <v>England</v>
      </c>
      <c r="W3" s="142" t="e">
        <f>IFERROR(_xlfn.XLOOKUP(V3,Rounds!U$2:U$5,Rounds!V$2:V$5), _xlfn.XLOOKUP(V3,Rounds!X$2:X$5,Rounds!W$2:W$5))</f>
        <v>#N/A</v>
      </c>
      <c r="X3" s="142" t="e">
        <f>IFERROR(_xlfn.XLOOKUP(V3,Rounds!U$2:U$5,Rounds!W$2:W$5), _xlfn.XLOOKUP(V3,Rounds!X$2:X$5,Rounds!V$2:V$5))</f>
        <v>#N/A</v>
      </c>
      <c r="Y3" s="140" t="e">
        <f>IFERROR(_xlfn.XLOOKUP(V3,Rounds!U$2:U$5,Rounds!X$2:X$5), _xlfn.XLOOKUP(V3,Rounds!X$2:X$5,Rounds!U$2:U$5))</f>
        <v>#N/A</v>
      </c>
      <c r="AA3" s="142" t="e">
        <f>IFERROR(_xlfn.XLOOKUP(Z3,Rounds!Y$2:Y$3,Rounds!Z$2:Z$3), _xlfn.XLOOKUP(Z3,Rounds!AB$2:AB$3,Rounds!AA$2:AA$3))</f>
        <v>#N/A</v>
      </c>
      <c r="AB3" s="142" t="e">
        <f>IFERROR(_xlfn.XLOOKUP(Z3,Rounds!Y$2:Y$3,Rounds!AA$2:AA$3), _xlfn.XLOOKUP(Z3,Rounds!AB$2:AB$3,Rounds!Z$2:Z$3))</f>
        <v>#N/A</v>
      </c>
      <c r="AC3" s="140" t="e">
        <f>IFERROR(_xlfn.XLOOKUP(Z3,Rounds!Y$2:Y$3,Rounds!AB$2:AB$3), _xlfn.XLOOKUP(Z3,Rounds!AB$2:AB$3,Rounds!Y$2:Y$3))</f>
        <v>#N/A</v>
      </c>
      <c r="AE3" s="142" t="e" cm="1">
        <f t="array" ref="AE3">IFERROR(_xlfn.XLOOKUP(AD3,Rounds!AC$2:AC$2,Rounds!AD$2:AD$2), _xlfn.XLOOKUP(AD3,Rounds!AF$2:AF$2,Rounds!AE$2:AE$2))</f>
        <v>#N/A</v>
      </c>
      <c r="AF3" s="142" t="e" cm="1">
        <f t="array" ref="AF3">IFERROR(_xlfn.XLOOKUP(AD3,Rounds!AC$2:AC$2,Rounds!AE$2:AE$2), _xlfn.XLOOKUP(AD3,Rounds!AF$2:AF$2,Rounds!AD$2:AD$2))</f>
        <v>#N/A</v>
      </c>
      <c r="AG3" s="140" t="e" cm="1">
        <f t="array" ref="AG3">IFERROR(_xlfn.XLOOKUP(AD3,Rounds!AC$2:AC$2,Rounds!AF$2:AF$2), _xlfn.XLOOKUP(AD3,Rounds!AF$2:AF$2,Rounds!AC$2:AC$2))</f>
        <v>#N/A</v>
      </c>
    </row>
    <row r="4" spans="1:33" s="148" customFormat="1" x14ac:dyDescent="0.2">
      <c r="A4" s="145" t="s">
        <v>3700</v>
      </c>
      <c r="B4" s="145" t="s">
        <v>1798</v>
      </c>
      <c r="C4" s="146">
        <f>IFERROR(_xlfn.XLOOKUP(B4,Rounds!A$2:A$25,Rounds!B$2:B$25), _xlfn.XLOOKUP(B4,Rounds!D$2:D$25,Rounds!C$2:C$25))</f>
        <v>1</v>
      </c>
      <c r="D4" s="146">
        <f>IFERROR(_xlfn.XLOOKUP(B4,Rounds!A$2:A$25,Rounds!C$2:C$25), _xlfn.XLOOKUP(B4,Rounds!D$2:D$25,Rounds!B$2:B$25))</f>
        <v>1</v>
      </c>
      <c r="E4" s="147" t="str">
        <f>IFERROR(_xlfn.XLOOKUP(B4,Rounds!A$2:A$25,Rounds!D$2:D$25), _xlfn.XLOOKUP(B4,Rounds!D$2:D$25,Rounds!A$2:A$25))</f>
        <v>Qatar</v>
      </c>
      <c r="F4" s="148" t="s">
        <v>2274</v>
      </c>
      <c r="G4" s="146">
        <f>IFERROR(_xlfn.XLOOKUP(F4,Rounds!E$2:E$25,Rounds!F$2:F$25), _xlfn.XLOOKUP(F4,Rounds!H$2:H$25,Rounds!G$2:G$25))</f>
        <v>3</v>
      </c>
      <c r="H4" s="146">
        <f>IFERROR(_xlfn.XLOOKUP(F4,Rounds!E$2:E$25,Rounds!G$2:G$25), _xlfn.XLOOKUP(F4,Rounds!H$2:H$25,Rounds!F$2:F$25))</f>
        <v>1</v>
      </c>
      <c r="I4" s="147" t="str">
        <f>IFERROR(_xlfn.XLOOKUP(F4,Rounds!E$2:E$25,Rounds!H$2:H$25), _xlfn.XLOOKUP(F4,Rounds!H$2:H$25,Rounds!E$2:E$25))</f>
        <v>New Zealand</v>
      </c>
      <c r="J4" s="148" t="s">
        <v>1677</v>
      </c>
      <c r="K4" s="146">
        <f>IFERROR(_xlfn.XLOOKUP(J4,Rounds!I$2:I$25,Rounds!J$2:J$25), _xlfn.XLOOKUP(J4,Rounds!L$2:L$25,Rounds!K$2:K$25))</f>
        <v>4</v>
      </c>
      <c r="L4" s="146">
        <f>IFERROR(_xlfn.XLOOKUP(J4,Rounds!I$2:I$25,Rounds!K$2:K$25), _xlfn.XLOOKUP(J4,Rounds!L$2:L$25,Rounds!J$2:J$25))</f>
        <v>2</v>
      </c>
      <c r="M4" s="147" t="str">
        <f>IFERROR(_xlfn.XLOOKUP(J4,Rounds!I$2:I$25,Rounds!L$2:L$25), _xlfn.XLOOKUP(J4,Rounds!L$2:L$25,Rounds!I$2:I$25))</f>
        <v>Haiti</v>
      </c>
      <c r="N4" s="148" t="s">
        <v>1148</v>
      </c>
      <c r="O4" s="146">
        <f>IFERROR(_xlfn.XLOOKUP(N4,Rounds!M$2:M$17,Rounds!N$2:N$17), _xlfn.XLOOKUP(N4,Rounds!P$2:P$17,Rounds!O$2:O$17))</f>
        <v>2</v>
      </c>
      <c r="P4" s="146">
        <f>IFERROR(_xlfn.XLOOKUP(N4,Rounds!M$2:M$17,Rounds!O$2:O$17), _xlfn.XLOOKUP(N4,Rounds!P$2:P$17,Rounds!N$2:N$17))</f>
        <v>1</v>
      </c>
      <c r="Q4" s="147" t="str">
        <f>IFERROR(_xlfn.XLOOKUP(N4,Rounds!M$2:M$17,Rounds!P$2:P$17), _xlfn.XLOOKUP(N4,Rounds!P$2:P$17,Rounds!M$2:M$17))</f>
        <v>DR Congo</v>
      </c>
      <c r="R4" s="148" t="s">
        <v>1323</v>
      </c>
      <c r="S4" s="146">
        <f>IFERROR(_xlfn.XLOOKUP(R4,Rounds!Q$2:Q$9,Rounds!R$2:R$9), _xlfn.XLOOKUP(R4,Rounds!T$2:T$9,Rounds!S$2:S$9))</f>
        <v>2</v>
      </c>
      <c r="T4" s="146">
        <f>IFERROR(_xlfn.XLOOKUP(R4,Rounds!Q$2:Q$9,Rounds!S$2:S$9), _xlfn.XLOOKUP(R4,Rounds!T$2:T$9,Rounds!R$2:R$9))</f>
        <v>3</v>
      </c>
      <c r="U4" s="147" t="str">
        <f>IFERROR(_xlfn.XLOOKUP(R4,Rounds!Q$2:Q$9,Rounds!T$2:T$9), _xlfn.XLOOKUP(R4,Rounds!T$2:T$9,Rounds!Q$2:Q$9))</f>
        <v>England</v>
      </c>
      <c r="W4" s="146" t="e">
        <f>IFERROR(_xlfn.XLOOKUP(V4,Rounds!U$2:U$5,Rounds!V$2:V$5), _xlfn.XLOOKUP(V4,Rounds!X$2:X$5,Rounds!W$2:W$5))</f>
        <v>#N/A</v>
      </c>
      <c r="X4" s="146" t="e">
        <f>IFERROR(_xlfn.XLOOKUP(V4,Rounds!U$2:U$5,Rounds!W$2:W$5), _xlfn.XLOOKUP(V4,Rounds!X$2:X$5,Rounds!V$2:V$5))</f>
        <v>#N/A</v>
      </c>
      <c r="Y4" s="147" t="e">
        <f>IFERROR(_xlfn.XLOOKUP(V4,Rounds!U$2:U$5,Rounds!X$2:X$5), _xlfn.XLOOKUP(V4,Rounds!X$2:X$5,Rounds!U$2:U$5))</f>
        <v>#N/A</v>
      </c>
      <c r="AA4" s="146" t="e">
        <f>IFERROR(_xlfn.XLOOKUP(Z4,Rounds!Y$2:Y$3,Rounds!Z$2:Z$3), _xlfn.XLOOKUP(Z4,Rounds!AB$2:AB$3,Rounds!AA$2:AA$3))</f>
        <v>#N/A</v>
      </c>
      <c r="AB4" s="146" t="e">
        <f>IFERROR(_xlfn.XLOOKUP(Z4,Rounds!Y$2:Y$3,Rounds!AA$2:AA$3), _xlfn.XLOOKUP(Z4,Rounds!AB$2:AB$3,Rounds!Z$2:Z$3))</f>
        <v>#N/A</v>
      </c>
      <c r="AC4" s="147" t="e">
        <f>IFERROR(_xlfn.XLOOKUP(Z4,Rounds!Y$2:Y$3,Rounds!AB$2:AB$3), _xlfn.XLOOKUP(Z4,Rounds!AB$2:AB$3,Rounds!Y$2:Y$3))</f>
        <v>#N/A</v>
      </c>
      <c r="AE4" s="146" t="e" cm="1">
        <f t="array" ref="AE4">IFERROR(_xlfn.XLOOKUP(AD4,Rounds!AC$2:AC$2,Rounds!AD$2:AD$2), _xlfn.XLOOKUP(AD4,Rounds!AF$2:AF$2,Rounds!AE$2:AE$2))</f>
        <v>#N/A</v>
      </c>
      <c r="AF4" s="146" t="e" cm="1">
        <f t="array" ref="AF4">IFERROR(_xlfn.XLOOKUP(AD4,Rounds!AC$2:AC$2,Rounds!AE$2:AE$2), _xlfn.XLOOKUP(AD4,Rounds!AF$2:AF$2,Rounds!AD$2:AD$2))</f>
        <v>#N/A</v>
      </c>
      <c r="AG4" s="147" t="e" cm="1">
        <f t="array" ref="AG4">IFERROR(_xlfn.XLOOKUP(AD4,Rounds!AC$2:AC$2,Rounds!AF$2:AF$2), _xlfn.XLOOKUP(AD4,Rounds!AF$2:AF$2,Rounds!AC$2:AC$2))</f>
        <v>#N/A</v>
      </c>
    </row>
    <row r="5" spans="1:33" x14ac:dyDescent="0.2">
      <c r="A5" s="132" t="s">
        <v>3701</v>
      </c>
      <c r="B5" s="132" t="s">
        <v>2573</v>
      </c>
      <c r="C5" s="82">
        <f>IFERROR(_xlfn.XLOOKUP(B5,Rounds!A$2:A$25,Rounds!B$2:B$25), _xlfn.XLOOKUP(B5,Rounds!D$2:D$25,Rounds!C$2:C$25))</f>
        <v>3</v>
      </c>
      <c r="D5" s="82">
        <f>IFERROR(_xlfn.XLOOKUP(B5,Rounds!A$2:A$25,Rounds!C$2:C$25), _xlfn.XLOOKUP(B5,Rounds!D$2:D$25,Rounds!B$2:B$25))</f>
        <v>1</v>
      </c>
      <c r="E5" s="134" t="str">
        <f>IFERROR(_xlfn.XLOOKUP(B5,Rounds!A$2:A$25,Rounds!D$2:D$25), _xlfn.XLOOKUP(B5,Rounds!D$2:D$25,Rounds!A$2:A$25))</f>
        <v>Uzbekistan</v>
      </c>
      <c r="F5" t="s">
        <v>1093</v>
      </c>
      <c r="G5" s="82">
        <f>IFERROR(_xlfn.XLOOKUP(F5,Rounds!E$2:E$25,Rounds!F$2:F$25), _xlfn.XLOOKUP(F5,Rounds!H$2:H$25,Rounds!G$2:G$25))</f>
        <v>0</v>
      </c>
      <c r="H5" s="82">
        <f>IFERROR(_xlfn.XLOOKUP(F5,Rounds!E$2:E$25,Rounds!G$2:G$25), _xlfn.XLOOKUP(F5,Rounds!H$2:H$25,Rounds!F$2:F$25))</f>
        <v>0</v>
      </c>
      <c r="I5" s="134" t="str">
        <f>IFERROR(_xlfn.XLOOKUP(F5,Rounds!E$2:E$25,Rounds!H$2:H$25), _xlfn.XLOOKUP(F5,Rounds!H$2:H$25,Rounds!E$2:E$25))</f>
        <v>Curaçao</v>
      </c>
      <c r="J5" t="s">
        <v>1323</v>
      </c>
      <c r="K5" s="82">
        <f>IFERROR(_xlfn.XLOOKUP(J5,Rounds!I$2:I$25,Rounds!J$2:J$25), _xlfn.XLOOKUP(J5,Rounds!L$2:L$25,Rounds!K$2:K$25))</f>
        <v>3</v>
      </c>
      <c r="L5" s="82">
        <f>IFERROR(_xlfn.XLOOKUP(J5,Rounds!I$2:I$25,Rounds!K$2:K$25), _xlfn.XLOOKUP(J5,Rounds!L$2:L$25,Rounds!J$2:J$25))</f>
        <v>0</v>
      </c>
      <c r="M5" s="134" t="str">
        <f>IFERROR(_xlfn.XLOOKUP(J5,Rounds!I$2:I$25,Rounds!L$2:L$25), _xlfn.XLOOKUP(J5,Rounds!L$2:L$25,Rounds!I$2:I$25))</f>
        <v>Czech Republic</v>
      </c>
      <c r="N5" t="s">
        <v>1633</v>
      </c>
      <c r="O5" s="82">
        <f>IFERROR(_xlfn.XLOOKUP(N5,Rounds!M$2:M$17,Rounds!N$2:N$17), _xlfn.XLOOKUP(N5,Rounds!P$2:P$17,Rounds!O$2:O$17))</f>
        <v>3</v>
      </c>
      <c r="P5" s="82">
        <f>IFERROR(_xlfn.XLOOKUP(N5,Rounds!M$2:M$17,Rounds!O$2:O$17), _xlfn.XLOOKUP(N5,Rounds!P$2:P$17,Rounds!N$2:N$17))</f>
        <v>2</v>
      </c>
      <c r="Q5" s="134" t="str">
        <f>IFERROR(_xlfn.XLOOKUP(N5,Rounds!M$2:M$17,Rounds!P$2:P$17), _xlfn.XLOOKUP(N5,Rounds!P$2:P$17,Rounds!M$2:M$17))</f>
        <v>Senegal</v>
      </c>
      <c r="R5" t="s">
        <v>1677</v>
      </c>
      <c r="S5" s="82">
        <f>IFERROR(_xlfn.XLOOKUP(R5,Rounds!Q$2:Q$9,Rounds!R$2:R$9), _xlfn.XLOOKUP(R5,Rounds!T$2:T$9,Rounds!S$2:S$9))</f>
        <v>3</v>
      </c>
      <c r="T5" s="82">
        <f>IFERROR(_xlfn.XLOOKUP(R5,Rounds!Q$2:Q$9,Rounds!S$2:S$9), _xlfn.XLOOKUP(R5,Rounds!T$2:T$9,Rounds!R$2:R$9))</f>
        <v>0</v>
      </c>
      <c r="U5" s="134" t="str">
        <f>IFERROR(_xlfn.XLOOKUP(R5,Rounds!Q$2:Q$9,Rounds!T$2:T$9), _xlfn.XLOOKUP(R5,Rounds!T$2:T$9,Rounds!Q$2:Q$9))</f>
        <v>Canada</v>
      </c>
      <c r="W5" s="82" t="e">
        <f>IFERROR(_xlfn.XLOOKUP(V5,Rounds!U$2:U$5,Rounds!V$2:V$5), _xlfn.XLOOKUP(V5,Rounds!X$2:X$5,Rounds!W$2:W$5))</f>
        <v>#N/A</v>
      </c>
      <c r="X5" s="82" t="e">
        <f>IFERROR(_xlfn.XLOOKUP(V5,Rounds!U$2:U$5,Rounds!W$2:W$5), _xlfn.XLOOKUP(V5,Rounds!X$2:X$5,Rounds!V$2:V$5))</f>
        <v>#N/A</v>
      </c>
      <c r="Y5" s="134" t="e">
        <f>IFERROR(_xlfn.XLOOKUP(V5,Rounds!U$2:U$5,Rounds!X$2:X$5), _xlfn.XLOOKUP(V5,Rounds!X$2:X$5,Rounds!U$2:U$5))</f>
        <v>#N/A</v>
      </c>
      <c r="AA5" s="82" t="e">
        <f>IFERROR(_xlfn.XLOOKUP(Z5,Rounds!Y$2:Y$3,Rounds!Z$2:Z$3), _xlfn.XLOOKUP(Z5,Rounds!AB$2:AB$3,Rounds!AA$2:AA$3))</f>
        <v>#N/A</v>
      </c>
      <c r="AB5" s="82" t="e">
        <f>IFERROR(_xlfn.XLOOKUP(Z5,Rounds!Y$2:Y$3,Rounds!AA$2:AA$3), _xlfn.XLOOKUP(Z5,Rounds!AB$2:AB$3,Rounds!Z$2:Z$3))</f>
        <v>#N/A</v>
      </c>
      <c r="AC5" s="134" t="e">
        <f>IFERROR(_xlfn.XLOOKUP(Z5,Rounds!Y$2:Y$3,Rounds!AB$2:AB$3), _xlfn.XLOOKUP(Z5,Rounds!AB$2:AB$3,Rounds!Y$2:Y$3))</f>
        <v>#N/A</v>
      </c>
      <c r="AE5" s="82" t="e" cm="1">
        <f t="array" ref="AE5">IFERROR(_xlfn.XLOOKUP(AD5,Rounds!AC$2:AC$2,Rounds!AD$2:AD$2), _xlfn.XLOOKUP(AD5,Rounds!AF$2:AF$2,Rounds!AE$2:AE$2))</f>
        <v>#N/A</v>
      </c>
      <c r="AF5" s="82" t="e" cm="1">
        <f t="array" ref="AF5">IFERROR(_xlfn.XLOOKUP(AD5,Rounds!AC$2:AC$2,Rounds!AE$2:AE$2), _xlfn.XLOOKUP(AD5,Rounds!AF$2:AF$2,Rounds!AD$2:AD$2))</f>
        <v>#N/A</v>
      </c>
      <c r="AG5" s="134" t="e" cm="1">
        <f t="array" ref="AG5">IFERROR(_xlfn.XLOOKUP(AD5,Rounds!AC$2:AC$2,Rounds!AF$2:AF$2), _xlfn.XLOOKUP(AD5,Rounds!AF$2:AF$2,Rounds!AC$2:AC$2))</f>
        <v>#N/A</v>
      </c>
    </row>
    <row r="6" spans="1:33" s="148" customFormat="1" x14ac:dyDescent="0.2">
      <c r="A6" s="145" t="s">
        <v>3702</v>
      </c>
      <c r="B6" s="145" t="s">
        <v>2395</v>
      </c>
      <c r="C6" s="146">
        <f>IFERROR(_xlfn.XLOOKUP(B6,Rounds!A$2:A$25,Rounds!B$2:B$25), _xlfn.XLOOKUP(B6,Rounds!D$2:D$25,Rounds!C$2:C$25))</f>
        <v>4</v>
      </c>
      <c r="D6" s="146">
        <f>IFERROR(_xlfn.XLOOKUP(B6,Rounds!A$2:A$25,Rounds!C$2:C$25), _xlfn.XLOOKUP(B6,Rounds!D$2:D$25,Rounds!B$2:B$25))</f>
        <v>1</v>
      </c>
      <c r="E6" s="147" t="str">
        <f>IFERROR(_xlfn.XLOOKUP(B6,Rounds!A$2:A$25,Rounds!D$2:D$25), _xlfn.XLOOKUP(B6,Rounds!D$2:D$25,Rounds!A$2:A$25))</f>
        <v>Iraq</v>
      </c>
      <c r="F6" s="148" t="s">
        <v>1604</v>
      </c>
      <c r="G6" s="146">
        <f>IFERROR(_xlfn.XLOOKUP(F6,Rounds!E$2:E$25,Rounds!F$2:F$25), _xlfn.XLOOKUP(F6,Rounds!H$2:H$25,Rounds!G$2:G$25))</f>
        <v>4</v>
      </c>
      <c r="H6" s="146">
        <f>IFERROR(_xlfn.XLOOKUP(F6,Rounds!E$2:E$25,Rounds!G$2:G$25), _xlfn.XLOOKUP(F6,Rounds!H$2:H$25,Rounds!F$2:F$25))</f>
        <v>0</v>
      </c>
      <c r="I6" s="147" t="str">
        <f>IFERROR(_xlfn.XLOOKUP(F6,Rounds!E$2:E$25,Rounds!H$2:H$25), _xlfn.XLOOKUP(F6,Rounds!H$2:H$25,Rounds!E$2:E$25))</f>
        <v>Tunisia</v>
      </c>
      <c r="J6" s="148" t="s">
        <v>2201</v>
      </c>
      <c r="K6" s="146">
        <f>IFERROR(_xlfn.XLOOKUP(J6,Rounds!I$2:I$25,Rounds!J$2:J$25), _xlfn.XLOOKUP(J6,Rounds!L$2:L$25,Rounds!K$2:K$25))</f>
        <v>2</v>
      </c>
      <c r="L6" s="146">
        <f>IFERROR(_xlfn.XLOOKUP(J6,Rounds!I$2:I$25,Rounds!K$2:K$25), _xlfn.XLOOKUP(J6,Rounds!L$2:L$25,Rounds!J$2:J$25))</f>
        <v>0</v>
      </c>
      <c r="M6" s="147" t="str">
        <f>IFERROR(_xlfn.XLOOKUP(J6,Rounds!I$2:I$25,Rounds!L$2:L$25), _xlfn.XLOOKUP(J6,Rounds!L$2:L$25,Rounds!I$2:I$25))</f>
        <v>Curaçao</v>
      </c>
      <c r="N6" s="148" t="s">
        <v>1565</v>
      </c>
      <c r="O6" s="146">
        <f>IFERROR(_xlfn.XLOOKUP(N6,Rounds!M$2:M$17,Rounds!N$2:N$17), _xlfn.XLOOKUP(N6,Rounds!P$2:P$17,Rounds!O$2:O$17))</f>
        <v>1</v>
      </c>
      <c r="P6" s="146">
        <f>IFERROR(_xlfn.XLOOKUP(N6,Rounds!M$2:M$17,Rounds!O$2:O$17), _xlfn.XLOOKUP(N6,Rounds!P$2:P$17,Rounds!N$2:N$17))</f>
        <v>2</v>
      </c>
      <c r="Q6" s="147" t="str">
        <f>IFERROR(_xlfn.XLOOKUP(N6,Rounds!M$2:M$17,Rounds!P$2:P$17), _xlfn.XLOOKUP(N6,Rounds!P$2:P$17,Rounds!M$2:M$17))</f>
        <v>Paraguay</v>
      </c>
      <c r="R6" s="148" t="s">
        <v>1323</v>
      </c>
      <c r="S6" s="146">
        <f>IFERROR(_xlfn.XLOOKUP(R6,Rounds!Q$2:Q$9,Rounds!R$2:R$9), _xlfn.XLOOKUP(R6,Rounds!T$2:T$9,Rounds!S$2:S$9))</f>
        <v>2</v>
      </c>
      <c r="T6" s="146">
        <f>IFERROR(_xlfn.XLOOKUP(R6,Rounds!Q$2:Q$9,Rounds!S$2:S$9), _xlfn.XLOOKUP(R6,Rounds!T$2:T$9,Rounds!R$2:R$9))</f>
        <v>3</v>
      </c>
      <c r="U6" s="147" t="str">
        <f>IFERROR(_xlfn.XLOOKUP(R6,Rounds!Q$2:Q$9,Rounds!T$2:T$9), _xlfn.XLOOKUP(R6,Rounds!T$2:T$9,Rounds!Q$2:Q$9))</f>
        <v>England</v>
      </c>
      <c r="W6" s="146" t="e">
        <f>IFERROR(_xlfn.XLOOKUP(V6,Rounds!U$2:U$5,Rounds!V$2:V$5), _xlfn.XLOOKUP(V6,Rounds!X$2:X$5,Rounds!W$2:W$5))</f>
        <v>#N/A</v>
      </c>
      <c r="X6" s="146" t="e">
        <f>IFERROR(_xlfn.XLOOKUP(V6,Rounds!U$2:U$5,Rounds!W$2:W$5), _xlfn.XLOOKUP(V6,Rounds!X$2:X$5,Rounds!V$2:V$5))</f>
        <v>#N/A</v>
      </c>
      <c r="Y6" s="147" t="e">
        <f>IFERROR(_xlfn.XLOOKUP(V6,Rounds!U$2:U$5,Rounds!X$2:X$5), _xlfn.XLOOKUP(V6,Rounds!X$2:X$5,Rounds!U$2:U$5))</f>
        <v>#N/A</v>
      </c>
      <c r="AA6" s="146" t="e">
        <f>IFERROR(_xlfn.XLOOKUP(Z6,Rounds!Y$2:Y$3,Rounds!Z$2:Z$3), _xlfn.XLOOKUP(Z6,Rounds!AB$2:AB$3,Rounds!AA$2:AA$3))</f>
        <v>#N/A</v>
      </c>
      <c r="AB6" s="146" t="e">
        <f>IFERROR(_xlfn.XLOOKUP(Z6,Rounds!Y$2:Y$3,Rounds!AA$2:AA$3), _xlfn.XLOOKUP(Z6,Rounds!AB$2:AB$3,Rounds!Z$2:Z$3))</f>
        <v>#N/A</v>
      </c>
      <c r="AC6" s="147" t="e">
        <f>IFERROR(_xlfn.XLOOKUP(Z6,Rounds!Y$2:Y$3,Rounds!AB$2:AB$3), _xlfn.XLOOKUP(Z6,Rounds!AB$2:AB$3,Rounds!Y$2:Y$3))</f>
        <v>#N/A</v>
      </c>
      <c r="AE6" s="146" t="e" cm="1">
        <f t="array" ref="AE6">IFERROR(_xlfn.XLOOKUP(AD6,Rounds!AC$2:AC$2,Rounds!AD$2:AD$2), _xlfn.XLOOKUP(AD6,Rounds!AF$2:AF$2,Rounds!AE$2:AE$2))</f>
        <v>#N/A</v>
      </c>
      <c r="AF6" s="146" t="e" cm="1">
        <f t="array" ref="AF6">IFERROR(_xlfn.XLOOKUP(AD6,Rounds!AC$2:AC$2,Rounds!AE$2:AE$2), _xlfn.XLOOKUP(AD6,Rounds!AF$2:AF$2,Rounds!AD$2:AD$2))</f>
        <v>#N/A</v>
      </c>
      <c r="AG6" s="147" t="e" cm="1">
        <f t="array" ref="AG6">IFERROR(_xlfn.XLOOKUP(AD6,Rounds!AC$2:AC$2,Rounds!AF$2:AF$2), _xlfn.XLOOKUP(AD6,Rounds!AF$2:AF$2,Rounds!AC$2:AC$2))</f>
        <v>#N/A</v>
      </c>
    </row>
    <row r="7" spans="1:33" x14ac:dyDescent="0.2">
      <c r="A7" s="132" t="s">
        <v>3703</v>
      </c>
      <c r="B7" s="132" t="s">
        <v>1798</v>
      </c>
      <c r="C7" s="82">
        <f>IFERROR(_xlfn.XLOOKUP(B7,Rounds!A$2:A$25,Rounds!B$2:B$25), _xlfn.XLOOKUP(B7,Rounds!D$2:D$25,Rounds!C$2:C$25))</f>
        <v>1</v>
      </c>
      <c r="D7" s="82">
        <f>IFERROR(_xlfn.XLOOKUP(B7,Rounds!A$2:A$25,Rounds!C$2:C$25), _xlfn.XLOOKUP(B7,Rounds!D$2:D$25,Rounds!B$2:B$25))</f>
        <v>1</v>
      </c>
      <c r="E7" s="134" t="str">
        <f>IFERROR(_xlfn.XLOOKUP(B7,Rounds!A$2:A$25,Rounds!D$2:D$25), _xlfn.XLOOKUP(B7,Rounds!D$2:D$25,Rounds!A$2:A$25))</f>
        <v>Qatar</v>
      </c>
      <c r="F7" t="s">
        <v>2274</v>
      </c>
      <c r="G7" s="82">
        <f>IFERROR(_xlfn.XLOOKUP(F7,Rounds!E$2:E$25,Rounds!F$2:F$25), _xlfn.XLOOKUP(F7,Rounds!H$2:H$25,Rounds!G$2:G$25))</f>
        <v>3</v>
      </c>
      <c r="H7" s="82">
        <f>IFERROR(_xlfn.XLOOKUP(F7,Rounds!E$2:E$25,Rounds!G$2:G$25), _xlfn.XLOOKUP(F7,Rounds!H$2:H$25,Rounds!F$2:F$25))</f>
        <v>1</v>
      </c>
      <c r="I7" s="134" t="str">
        <f>IFERROR(_xlfn.XLOOKUP(F7,Rounds!E$2:E$25,Rounds!H$2:H$25), _xlfn.XLOOKUP(F7,Rounds!H$2:H$25,Rounds!E$2:E$25))</f>
        <v>New Zealand</v>
      </c>
      <c r="J7" t="s">
        <v>1995</v>
      </c>
      <c r="K7" s="82">
        <f>IFERROR(_xlfn.XLOOKUP(J7,Rounds!I$2:I$25,Rounds!J$2:J$25), _xlfn.XLOOKUP(J7,Rounds!L$2:L$25,Rounds!K$2:K$25))</f>
        <v>3</v>
      </c>
      <c r="L7" s="82">
        <f>IFERROR(_xlfn.XLOOKUP(J7,Rounds!I$2:I$25,Rounds!K$2:K$25), _xlfn.XLOOKUP(J7,Rounds!L$2:L$25,Rounds!J$2:J$25))</f>
        <v>1</v>
      </c>
      <c r="M7" s="134" t="str">
        <f>IFERROR(_xlfn.XLOOKUP(J7,Rounds!I$2:I$25,Rounds!L$2:L$25), _xlfn.XLOOKUP(J7,Rounds!L$2:L$25,Rounds!I$2:I$25))</f>
        <v>Qatar</v>
      </c>
      <c r="N7" t="s">
        <v>1633</v>
      </c>
      <c r="O7" s="82">
        <f>IFERROR(_xlfn.XLOOKUP(N7,Rounds!M$2:M$17,Rounds!N$2:N$17), _xlfn.XLOOKUP(N7,Rounds!P$2:P$17,Rounds!O$2:O$17))</f>
        <v>3</v>
      </c>
      <c r="P7" s="82">
        <f>IFERROR(_xlfn.XLOOKUP(N7,Rounds!M$2:M$17,Rounds!O$2:O$17), _xlfn.XLOOKUP(N7,Rounds!P$2:P$17,Rounds!N$2:N$17))</f>
        <v>2</v>
      </c>
      <c r="Q7" s="134" t="str">
        <f>IFERROR(_xlfn.XLOOKUP(N7,Rounds!M$2:M$17,Rounds!P$2:P$17), _xlfn.XLOOKUP(N7,Rounds!P$2:P$17,Rounds!M$2:M$17))</f>
        <v>Senegal</v>
      </c>
      <c r="R7" t="s">
        <v>1508</v>
      </c>
      <c r="S7" s="82">
        <f>IFERROR(_xlfn.XLOOKUP(R7,Rounds!Q$2:Q$9,Rounds!R$2:R$9), _xlfn.XLOOKUP(R7,Rounds!T$2:T$9,Rounds!S$2:S$9))</f>
        <v>1</v>
      </c>
      <c r="T7" s="82">
        <f>IFERROR(_xlfn.XLOOKUP(R7,Rounds!Q$2:Q$9,Rounds!S$2:S$9), _xlfn.XLOOKUP(R7,Rounds!T$2:T$9,Rounds!R$2:R$9))</f>
        <v>0</v>
      </c>
      <c r="U7" s="134" t="str">
        <f>IFERROR(_xlfn.XLOOKUP(R7,Rounds!Q$2:Q$9,Rounds!T$2:T$9), _xlfn.XLOOKUP(R7,Rounds!T$2:T$9,Rounds!Q$2:Q$9))</f>
        <v>Portugal</v>
      </c>
      <c r="W7" s="82" t="e">
        <f>IFERROR(_xlfn.XLOOKUP(V7,Rounds!U$2:U$5,Rounds!V$2:V$5), _xlfn.XLOOKUP(V7,Rounds!X$2:X$5,Rounds!W$2:W$5))</f>
        <v>#N/A</v>
      </c>
      <c r="X7" s="82" t="e">
        <f>IFERROR(_xlfn.XLOOKUP(V7,Rounds!U$2:U$5,Rounds!W$2:W$5), _xlfn.XLOOKUP(V7,Rounds!X$2:X$5,Rounds!V$2:V$5))</f>
        <v>#N/A</v>
      </c>
      <c r="Y7" s="134" t="e">
        <f>IFERROR(_xlfn.XLOOKUP(V7,Rounds!U$2:U$5,Rounds!X$2:X$5), _xlfn.XLOOKUP(V7,Rounds!X$2:X$5,Rounds!U$2:U$5))</f>
        <v>#N/A</v>
      </c>
      <c r="AA7" s="82" t="e">
        <f>IFERROR(_xlfn.XLOOKUP(Z7,Rounds!Y$2:Y$3,Rounds!Z$2:Z$3), _xlfn.XLOOKUP(Z7,Rounds!AB$2:AB$3,Rounds!AA$2:AA$3))</f>
        <v>#N/A</v>
      </c>
      <c r="AB7" s="82" t="e">
        <f>IFERROR(_xlfn.XLOOKUP(Z7,Rounds!Y$2:Y$3,Rounds!AA$2:AA$3), _xlfn.XLOOKUP(Z7,Rounds!AB$2:AB$3,Rounds!Z$2:Z$3))</f>
        <v>#N/A</v>
      </c>
      <c r="AC7" s="134" t="e">
        <f>IFERROR(_xlfn.XLOOKUP(Z7,Rounds!Y$2:Y$3,Rounds!AB$2:AB$3), _xlfn.XLOOKUP(Z7,Rounds!AB$2:AB$3,Rounds!Y$2:Y$3))</f>
        <v>#N/A</v>
      </c>
      <c r="AE7" s="82" t="e" cm="1">
        <f t="array" ref="AE7">IFERROR(_xlfn.XLOOKUP(AD7,Rounds!AC$2:AC$2,Rounds!AD$2:AD$2), _xlfn.XLOOKUP(AD7,Rounds!AF$2:AF$2,Rounds!AE$2:AE$2))</f>
        <v>#N/A</v>
      </c>
      <c r="AF7" s="82" t="e" cm="1">
        <f t="array" ref="AF7">IFERROR(_xlfn.XLOOKUP(AD7,Rounds!AC$2:AC$2,Rounds!AE$2:AE$2), _xlfn.XLOOKUP(AD7,Rounds!AF$2:AF$2,Rounds!AD$2:AD$2))</f>
        <v>#N/A</v>
      </c>
      <c r="AG7" s="134" t="e" cm="1">
        <f t="array" ref="AG7">IFERROR(_xlfn.XLOOKUP(AD7,Rounds!AC$2:AC$2,Rounds!AF$2:AF$2), _xlfn.XLOOKUP(AD7,Rounds!AF$2:AF$2,Rounds!AC$2:AC$2))</f>
        <v>#N/A</v>
      </c>
    </row>
    <row r="8" spans="1:33" s="148" customFormat="1" x14ac:dyDescent="0.2">
      <c r="A8" s="149" t="s">
        <v>3704</v>
      </c>
      <c r="B8" s="149" t="s">
        <v>1798</v>
      </c>
      <c r="C8" s="150">
        <f>IFERROR(_xlfn.XLOOKUP(B8,Rounds!A$2:A$25,Rounds!B$2:B$25), _xlfn.XLOOKUP(B8,Rounds!D$2:D$25,Rounds!C$2:C$25))</f>
        <v>1</v>
      </c>
      <c r="D8" s="150">
        <f>IFERROR(_xlfn.XLOOKUP(B8,Rounds!A$2:A$25,Rounds!C$2:C$25), _xlfn.XLOOKUP(B8,Rounds!D$2:D$25,Rounds!B$2:B$25))</f>
        <v>1</v>
      </c>
      <c r="E8" s="151" t="str">
        <f>IFERROR(_xlfn.XLOOKUP(B8,Rounds!A$2:A$25,Rounds!D$2:D$25), _xlfn.XLOOKUP(B8,Rounds!D$2:D$25,Rounds!A$2:A$25))</f>
        <v>Qatar</v>
      </c>
      <c r="F8" s="152" t="s">
        <v>1093</v>
      </c>
      <c r="G8" s="150">
        <f>IFERROR(_xlfn.XLOOKUP(F8,Rounds!E$2:E$25,Rounds!F$2:F$25), _xlfn.XLOOKUP(F8,Rounds!H$2:H$25,Rounds!G$2:G$25))</f>
        <v>0</v>
      </c>
      <c r="H8" s="150">
        <f>IFERROR(_xlfn.XLOOKUP(F8,Rounds!E$2:E$25,Rounds!G$2:G$25), _xlfn.XLOOKUP(F8,Rounds!H$2:H$25,Rounds!F$2:F$25))</f>
        <v>0</v>
      </c>
      <c r="I8" s="151" t="str">
        <f>IFERROR(_xlfn.XLOOKUP(F8,Rounds!E$2:E$25,Rounds!H$2:H$25), _xlfn.XLOOKUP(F8,Rounds!H$2:H$25,Rounds!E$2:E$25))</f>
        <v>Curaçao</v>
      </c>
      <c r="J8" s="152" t="s">
        <v>1677</v>
      </c>
      <c r="K8" s="150">
        <f>IFERROR(_xlfn.XLOOKUP(J8,Rounds!I$2:I$25,Rounds!J$2:J$25), _xlfn.XLOOKUP(J8,Rounds!L$2:L$25,Rounds!K$2:K$25))</f>
        <v>4</v>
      </c>
      <c r="L8" s="150">
        <f>IFERROR(_xlfn.XLOOKUP(J8,Rounds!I$2:I$25,Rounds!K$2:K$25), _xlfn.XLOOKUP(J8,Rounds!L$2:L$25,Rounds!J$2:J$25))</f>
        <v>2</v>
      </c>
      <c r="M8" s="151" t="str">
        <f>IFERROR(_xlfn.XLOOKUP(J8,Rounds!I$2:I$25,Rounds!L$2:L$25), _xlfn.XLOOKUP(J8,Rounds!L$2:L$25,Rounds!I$2:I$25))</f>
        <v>Haiti</v>
      </c>
      <c r="N8" s="152" t="s">
        <v>1662</v>
      </c>
      <c r="O8" s="150">
        <f>IFERROR(_xlfn.XLOOKUP(N8,Rounds!M$2:M$17,Rounds!N$2:N$17), _xlfn.XLOOKUP(N8,Rounds!P$2:P$17,Rounds!O$2:O$17))</f>
        <v>1</v>
      </c>
      <c r="P8" s="150">
        <f>IFERROR(_xlfn.XLOOKUP(N8,Rounds!M$2:M$17,Rounds!O$2:O$17), _xlfn.XLOOKUP(N8,Rounds!P$2:P$17,Rounds!N$2:N$17))</f>
        <v>0</v>
      </c>
      <c r="Q8" s="151" t="str">
        <f>IFERROR(_xlfn.XLOOKUP(N8,Rounds!M$2:M$17,Rounds!P$2:P$17), _xlfn.XLOOKUP(N8,Rounds!P$2:P$17,Rounds!M$2:M$17))</f>
        <v>South Africa</v>
      </c>
      <c r="R8" s="152" t="s">
        <v>1148</v>
      </c>
      <c r="S8" s="150">
        <f>IFERROR(_xlfn.XLOOKUP(R8,Rounds!Q$2:Q$9,Rounds!R$2:R$9), _xlfn.XLOOKUP(R8,Rounds!T$2:T$9,Rounds!S$2:S$9))</f>
        <v>3</v>
      </c>
      <c r="T8" s="150">
        <f>IFERROR(_xlfn.XLOOKUP(R8,Rounds!Q$2:Q$9,Rounds!S$2:S$9), _xlfn.XLOOKUP(R8,Rounds!T$2:T$9,Rounds!R$2:R$9))</f>
        <v>2</v>
      </c>
      <c r="U8" s="151" t="str">
        <f>IFERROR(_xlfn.XLOOKUP(R8,Rounds!Q$2:Q$9,Rounds!T$2:T$9), _xlfn.XLOOKUP(R8,Rounds!T$2:T$9,Rounds!Q$2:Q$9))</f>
        <v>Mexico</v>
      </c>
      <c r="V8" s="152"/>
      <c r="W8" s="150" t="e">
        <f>IFERROR(_xlfn.XLOOKUP(V8,Rounds!U$2:U$5,Rounds!V$2:V$5), _xlfn.XLOOKUP(V8,Rounds!X$2:X$5,Rounds!W$2:W$5))</f>
        <v>#N/A</v>
      </c>
      <c r="X8" s="150" t="e">
        <f>IFERROR(_xlfn.XLOOKUP(V8,Rounds!U$2:U$5,Rounds!W$2:W$5), _xlfn.XLOOKUP(V8,Rounds!X$2:X$5,Rounds!V$2:V$5))</f>
        <v>#N/A</v>
      </c>
      <c r="Y8" s="151" t="e">
        <f>IFERROR(_xlfn.XLOOKUP(V8,Rounds!U$2:U$5,Rounds!X$2:X$5), _xlfn.XLOOKUP(V8,Rounds!X$2:X$5,Rounds!U$2:U$5))</f>
        <v>#N/A</v>
      </c>
      <c r="Z8" s="152"/>
      <c r="AA8" s="150" t="e">
        <f>IFERROR(_xlfn.XLOOKUP(Z8,Rounds!Y$2:Y$3,Rounds!Z$2:Z$3), _xlfn.XLOOKUP(Z8,Rounds!AB$2:AB$3,Rounds!AA$2:AA$3))</f>
        <v>#N/A</v>
      </c>
      <c r="AB8" s="150" t="e">
        <f>IFERROR(_xlfn.XLOOKUP(Z8,Rounds!Y$2:Y$3,Rounds!AA$2:AA$3), _xlfn.XLOOKUP(Z8,Rounds!AB$2:AB$3,Rounds!Z$2:Z$3))</f>
        <v>#N/A</v>
      </c>
      <c r="AC8" s="151" t="e">
        <f>IFERROR(_xlfn.XLOOKUP(Z8,Rounds!Y$2:Y$3,Rounds!AB$2:AB$3), _xlfn.XLOOKUP(Z8,Rounds!AB$2:AB$3,Rounds!Y$2:Y$3))</f>
        <v>#N/A</v>
      </c>
      <c r="AD8" s="152"/>
      <c r="AE8" s="150" t="e" cm="1">
        <f t="array" ref="AE8">IFERROR(_xlfn.XLOOKUP(AD8,Rounds!AC$2:AC$2,Rounds!AD$2:AD$2), _xlfn.XLOOKUP(AD8,Rounds!AF$2:AF$2,Rounds!AE$2:AE$2))</f>
        <v>#N/A</v>
      </c>
      <c r="AF8" s="150" t="e" cm="1">
        <f t="array" ref="AF8">IFERROR(_xlfn.XLOOKUP(AD8,Rounds!AC$2:AC$2,Rounds!AE$2:AE$2), _xlfn.XLOOKUP(AD8,Rounds!AF$2:AF$2,Rounds!AD$2:AD$2))</f>
        <v>#N/A</v>
      </c>
      <c r="AG8" s="151" t="e" cm="1">
        <f t="array" ref="AG8">IFERROR(_xlfn.XLOOKUP(AD8,Rounds!AC$2:AC$2,Rounds!AF$2:AF$2), _xlfn.XLOOKUP(AD8,Rounds!AF$2:AF$2,Rounds!AC$2:AC$2))</f>
        <v>#N/A</v>
      </c>
    </row>
  </sheetData>
  <mergeCells count="9">
    <mergeCell ref="V1:Y1"/>
    <mergeCell ref="Z1:AC1"/>
    <mergeCell ref="AD1:AG1"/>
    <mergeCell ref="B1:E1"/>
    <mergeCell ref="A1:A2"/>
    <mergeCell ref="F1:I1"/>
    <mergeCell ref="J1:M1"/>
    <mergeCell ref="N1:Q1"/>
    <mergeCell ref="R1:U1"/>
  </mergeCells>
  <phoneticPr fontId="25" type="noConversion"/>
  <conditionalFormatting sqref="B3 J3 N3 R3 V3 Z3 AD3 F3">
    <cfRule type="duplicateValues" dxfId="234" priority="7"/>
  </conditionalFormatting>
  <conditionalFormatting sqref="B4 J4 N4 R4 V4 Z4 AD4 F4">
    <cfRule type="duplicateValues" dxfId="233" priority="5"/>
  </conditionalFormatting>
  <conditionalFormatting sqref="B5 J5 N5 R5 V5 Z5 AD5 F5">
    <cfRule type="duplicateValues" dxfId="232" priority="4"/>
  </conditionalFormatting>
  <conditionalFormatting sqref="B6 J6 N6 R6 V6 Z6 AD6 F6">
    <cfRule type="duplicateValues" dxfId="231" priority="3"/>
  </conditionalFormatting>
  <conditionalFormatting sqref="B7 J7 N7 R7 V7 Z7 AD7 F7">
    <cfRule type="duplicateValues" dxfId="230" priority="1"/>
  </conditionalFormatting>
  <conditionalFormatting sqref="B8 J8 N8 R8 V8 Z8 AD8 F8">
    <cfRule type="duplicateValues" dxfId="229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454A98-526A-9348-8D90-22E13E320A5F}">
          <x14:formula1>
            <xm:f>AllTeams!$A$1:$A$48</xm:f>
          </x14:formula1>
          <xm:sqref>B3:B8 AD3:AD8 Z3:Z8 J3:J8 N3:N8 R3:R8 V3:V8 F3:F8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7D90-5BC7-4C44-938F-3C1437D4E867}">
  <dimension ref="A1:AF25"/>
  <sheetViews>
    <sheetView topLeftCell="F1" zoomScaleNormal="100" workbookViewId="0">
      <selection activeCell="T19" sqref="T19"/>
    </sheetView>
  </sheetViews>
  <sheetFormatPr baseColWidth="10" defaultRowHeight="15" x14ac:dyDescent="0.2"/>
  <cols>
    <col min="1" max="1" width="21.1640625" customWidth="1"/>
    <col min="2" max="3" width="3.83203125" style="81" customWidth="1"/>
    <col min="4" max="5" width="21.1640625" customWidth="1"/>
    <col min="6" max="7" width="3.83203125" style="81" customWidth="1"/>
    <col min="8" max="9" width="21.1640625" customWidth="1"/>
    <col min="10" max="11" width="3.83203125" style="81" customWidth="1"/>
    <col min="12" max="13" width="21.1640625" customWidth="1"/>
    <col min="14" max="15" width="3.83203125" style="81" customWidth="1"/>
    <col min="16" max="17" width="21.1640625" customWidth="1"/>
    <col min="18" max="19" width="3.83203125" style="81" customWidth="1"/>
    <col min="20" max="21" width="21.1640625" customWidth="1"/>
    <col min="22" max="23" width="3.83203125" style="81" customWidth="1"/>
    <col min="24" max="25" width="21.1640625" customWidth="1"/>
    <col min="26" max="27" width="3.83203125" style="81" customWidth="1"/>
    <col min="28" max="29" width="21.1640625" customWidth="1"/>
    <col min="30" max="31" width="3.83203125" style="81" customWidth="1"/>
    <col min="32" max="32" width="21.1640625" customWidth="1"/>
  </cols>
  <sheetData>
    <row r="1" spans="1:32" x14ac:dyDescent="0.2">
      <c r="A1" s="160" t="s">
        <v>3705</v>
      </c>
      <c r="B1" s="161"/>
      <c r="C1" s="161"/>
      <c r="D1" s="162"/>
      <c r="E1" s="160" t="s">
        <v>3706</v>
      </c>
      <c r="F1" s="161"/>
      <c r="G1" s="161"/>
      <c r="H1" s="162"/>
      <c r="I1" s="160" t="s">
        <v>3707</v>
      </c>
      <c r="J1" s="161"/>
      <c r="K1" s="161"/>
      <c r="L1" s="162"/>
      <c r="M1" s="160" t="s">
        <v>3708</v>
      </c>
      <c r="N1" s="161"/>
      <c r="O1" s="161"/>
      <c r="P1" s="162"/>
      <c r="Q1" s="160" t="s">
        <v>3709</v>
      </c>
      <c r="R1" s="161"/>
      <c r="S1" s="161"/>
      <c r="T1" s="162"/>
      <c r="U1" s="160" t="s">
        <v>3710</v>
      </c>
      <c r="V1" s="161"/>
      <c r="W1" s="161"/>
      <c r="X1" s="162"/>
      <c r="Y1" s="160" t="s">
        <v>3711</v>
      </c>
      <c r="Z1" s="161"/>
      <c r="AA1" s="161"/>
      <c r="AB1" s="162"/>
      <c r="AC1" s="160" t="s">
        <v>3712</v>
      </c>
      <c r="AD1" s="161"/>
      <c r="AE1" s="161"/>
      <c r="AF1" s="162"/>
    </row>
    <row r="2" spans="1:32" x14ac:dyDescent="0.2">
      <c r="A2" s="132" t="str" cm="1">
        <f t="array" ref="A2:D25">IF('2026 World Cup'!E7:H30="",NA(),'2026 World Cup'!E7:H30)</f>
        <v>Mexico</v>
      </c>
      <c r="B2" s="81">
        <v>2</v>
      </c>
      <c r="C2" s="81">
        <v>0</v>
      </c>
      <c r="D2" s="134" t="str">
        <v>South Africa</v>
      </c>
      <c r="E2" s="132" t="str" cm="1">
        <f t="array" ref="E2:H25">IF('2026 World Cup'!E31:H54="",NA(),'2026 World Cup'!E31:H54)</f>
        <v>Czech Republic</v>
      </c>
      <c r="F2" s="81">
        <v>1</v>
      </c>
      <c r="G2" s="81">
        <v>1</v>
      </c>
      <c r="H2" s="134" t="str">
        <v>South Africa</v>
      </c>
      <c r="I2" s="132" t="str" cm="1">
        <f t="array" ref="I2:L25">IF('2026 World Cup'!E55:H78="",NA(),'2026 World Cup'!E55:H78)</f>
        <v>Scotland</v>
      </c>
      <c r="J2" s="81">
        <v>0</v>
      </c>
      <c r="K2" s="81">
        <v>3</v>
      </c>
      <c r="L2" s="134" t="str">
        <v>Brazil</v>
      </c>
      <c r="M2" s="132" t="str">
        <f>IF('2026 World Cup'!BL10="",NA(),'2026 World Cup'!BL10)</f>
        <v>Germany</v>
      </c>
      <c r="N2" s="81">
        <f>IF('2026 World Cup'!$BM10="",NA(),'2026 World Cup'!$BM10)</f>
        <v>1</v>
      </c>
      <c r="O2" s="81">
        <f>IF('2026 World Cup'!$BM11="",NA(),'2026 World Cup'!$BM11)</f>
        <v>2</v>
      </c>
      <c r="P2" s="134" t="str">
        <f>'2026 World Cup'!BL11</f>
        <v>Paraguay</v>
      </c>
      <c r="Q2" s="132" t="str">
        <f>'2026 World Cup'!BS12</f>
        <v>Paraguay</v>
      </c>
      <c r="R2" s="81">
        <f>IF('2026 World Cup'!$BT12="",NA(),'2026 World Cup'!$BT12)</f>
        <v>0</v>
      </c>
      <c r="S2" s="81">
        <f>IF('2026 World Cup'!$BT13="",NA(),'2026 World Cup'!$BT13)</f>
        <v>1</v>
      </c>
      <c r="T2" s="134" t="str">
        <f>'2026 World Cup'!BS13</f>
        <v>France</v>
      </c>
      <c r="U2" s="132" t="str">
        <f>'2026 World Cup'!BZ16</f>
        <v>France</v>
      </c>
      <c r="V2" s="81" t="e">
        <f>IF('2026 World Cup'!$CA16="",NA(),'2026 World Cup'!$CA16)</f>
        <v>#N/A</v>
      </c>
      <c r="W2" s="81" t="e">
        <f>IF('2026 World Cup'!$CA17="",NA(),'2026 World Cup'!$CA17)</f>
        <v>#N/A</v>
      </c>
      <c r="X2" s="134" t="str">
        <f>'2026 World Cup'!BZ17</f>
        <v>Morocco</v>
      </c>
      <c r="Y2" s="132" t="str">
        <f>'2026 World Cup'!CG23</f>
        <v/>
      </c>
      <c r="Z2" s="81" t="e">
        <f>IF('2026 World Cup'!$CH23="",NA(),'2026 World Cup'!$CH23)</f>
        <v>#N/A</v>
      </c>
      <c r="AA2" s="81" t="e">
        <f>IF('2026 World Cup'!$CH24="",NA(),'2026 World Cup'!$CH24)</f>
        <v>#N/A</v>
      </c>
      <c r="AB2" s="134" t="str">
        <f>'2026 World Cup'!CG24</f>
        <v/>
      </c>
      <c r="AC2" s="135" t="str">
        <f>'2026 World Cup'!CN37</f>
        <v/>
      </c>
      <c r="AD2" s="153" t="e">
        <f>IF('2026 World Cup'!$CO37="",NA(),'2026 World Cup'!$CO37)</f>
        <v>#N/A</v>
      </c>
      <c r="AE2" s="153" t="e">
        <f>IF('2026 World Cup'!$CO38="",NA(),'2026 World Cup'!$CO38)</f>
        <v>#N/A</v>
      </c>
      <c r="AF2" s="136" t="str">
        <f>'2026 World Cup'!CN38</f>
        <v/>
      </c>
    </row>
    <row r="3" spans="1:32" x14ac:dyDescent="0.2">
      <c r="A3" s="132" t="str">
        <v>Korea Republic</v>
      </c>
      <c r="B3" s="81">
        <v>2</v>
      </c>
      <c r="C3" s="81">
        <v>1</v>
      </c>
      <c r="D3" s="134" t="str">
        <v>Czech Republic</v>
      </c>
      <c r="E3" s="132" t="str">
        <v>Switzerland</v>
      </c>
      <c r="F3" s="81">
        <v>4</v>
      </c>
      <c r="G3" s="81">
        <v>1</v>
      </c>
      <c r="H3" s="134" t="str">
        <v>Bosnia and Herzegovina</v>
      </c>
      <c r="I3" s="132" t="str">
        <v>Morocco</v>
      </c>
      <c r="J3" s="81">
        <v>4</v>
      </c>
      <c r="K3" s="81">
        <v>2</v>
      </c>
      <c r="L3" s="134" t="str">
        <v>Haiti</v>
      </c>
      <c r="M3" s="132" t="str">
        <f>'2026 World Cup'!BL14</f>
        <v>France</v>
      </c>
      <c r="N3" s="81">
        <f>IF('2026 World Cup'!$BM14="",NA(),'2026 World Cup'!$BM14)</f>
        <v>3</v>
      </c>
      <c r="O3" s="81">
        <f>IF('2026 World Cup'!$BM15="",NA(),'2026 World Cup'!$BM15)</f>
        <v>0</v>
      </c>
      <c r="P3" s="134" t="str">
        <f>'2026 World Cup'!BL15</f>
        <v>Sweden</v>
      </c>
      <c r="Q3" s="132" t="str">
        <f>'2026 World Cup'!BS20</f>
        <v>Canada</v>
      </c>
      <c r="R3" s="81">
        <f>IF('2026 World Cup'!$BT20="",NA(),'2026 World Cup'!$BT20)</f>
        <v>0</v>
      </c>
      <c r="S3" s="81">
        <f>IF('2026 World Cup'!$BT21="",NA(),'2026 World Cup'!$BT21)</f>
        <v>3</v>
      </c>
      <c r="T3" s="134" t="str">
        <f>'2026 World Cup'!BS21</f>
        <v>Morocco</v>
      </c>
      <c r="U3" s="132" t="str">
        <f>'2026 World Cup'!BZ32</f>
        <v>Spain</v>
      </c>
      <c r="V3" s="81" t="e">
        <f>IF('2026 World Cup'!$CA32="",NA(),'2026 World Cup'!$CA32)</f>
        <v>#N/A</v>
      </c>
      <c r="W3" s="81" t="e">
        <f>IF('2026 World Cup'!$CA33="",NA(),'2026 World Cup'!$CA33)</f>
        <v>#N/A</v>
      </c>
      <c r="X3" s="134" t="str">
        <f>'2026 World Cup'!BZ33</f>
        <v/>
      </c>
      <c r="Y3" s="135" t="str">
        <f>'2026 World Cup'!CG55</f>
        <v/>
      </c>
      <c r="Z3" s="153" t="e">
        <f>IF('2026 World Cup'!$CH55="",NA(),'2026 World Cup'!$CH55)</f>
        <v>#N/A</v>
      </c>
      <c r="AA3" s="153" t="e">
        <f>IF('2026 World Cup'!$CH56="",NA(),'2026 World Cup'!$CH56)</f>
        <v>#N/A</v>
      </c>
      <c r="AB3" s="136" t="str">
        <f>'2026 World Cup'!CG56</f>
        <v/>
      </c>
    </row>
    <row r="4" spans="1:32" x14ac:dyDescent="0.2">
      <c r="A4" s="132" t="str">
        <v>Canada</v>
      </c>
      <c r="B4" s="81">
        <v>1</v>
      </c>
      <c r="C4" s="81">
        <v>1</v>
      </c>
      <c r="D4" s="134" t="str">
        <v>Bosnia and Herzegovina</v>
      </c>
      <c r="E4" s="132" t="str">
        <v>Canada</v>
      </c>
      <c r="F4" s="81">
        <v>6</v>
      </c>
      <c r="G4" s="81">
        <v>0</v>
      </c>
      <c r="H4" s="134" t="str">
        <v>Qatar</v>
      </c>
      <c r="I4" s="132" t="str">
        <v>Switzerland</v>
      </c>
      <c r="J4" s="81">
        <v>2</v>
      </c>
      <c r="K4" s="81">
        <v>1</v>
      </c>
      <c r="L4" s="134" t="str">
        <v>Canada</v>
      </c>
      <c r="M4" s="132" t="str">
        <f>'2026 World Cup'!BL18</f>
        <v>South Africa</v>
      </c>
      <c r="N4" s="81">
        <f>IF('2026 World Cup'!$BM18="",NA(),'2026 World Cup'!$BM18)</f>
        <v>0</v>
      </c>
      <c r="O4" s="81">
        <f>IF('2026 World Cup'!$BM19="",NA(),'2026 World Cup'!$BM19)</f>
        <v>1</v>
      </c>
      <c r="P4" s="134" t="str">
        <f>'2026 World Cup'!BL19</f>
        <v>Canada</v>
      </c>
      <c r="Q4" s="132" t="str">
        <f>'2026 World Cup'!BS28</f>
        <v>Portugal</v>
      </c>
      <c r="R4" s="81">
        <f>IF('2026 World Cup'!$BT28="",NA(),'2026 World Cup'!$BT28)</f>
        <v>0</v>
      </c>
      <c r="S4" s="81">
        <f>IF('2026 World Cup'!$BT29="",NA(),'2026 World Cup'!$BT29)</f>
        <v>1</v>
      </c>
      <c r="T4" s="134" t="str">
        <f>'2026 World Cup'!BS29</f>
        <v>Spain</v>
      </c>
      <c r="U4" s="132" t="str">
        <f>'2026 World Cup'!BZ48</f>
        <v>Norway</v>
      </c>
      <c r="V4" s="81" t="e">
        <f>IF('2026 World Cup'!$CA48="",NA(),'2026 World Cup'!$CA48)</f>
        <v>#N/A</v>
      </c>
      <c r="W4" s="81" t="e">
        <f>IF('2026 World Cup'!$CA49="",NA(),'2026 World Cup'!$CA49)</f>
        <v>#N/A</v>
      </c>
      <c r="X4" s="134" t="str">
        <f>'2026 World Cup'!BZ49</f>
        <v>England</v>
      </c>
    </row>
    <row r="5" spans="1:32" x14ac:dyDescent="0.2">
      <c r="A5" s="132" t="str">
        <v>United States</v>
      </c>
      <c r="B5" s="81">
        <v>4</v>
      </c>
      <c r="C5" s="81">
        <v>1</v>
      </c>
      <c r="D5" s="134" t="str">
        <v>Paraguay</v>
      </c>
      <c r="E5" s="132" t="str">
        <v>Mexico</v>
      </c>
      <c r="F5" s="81">
        <v>1</v>
      </c>
      <c r="G5" s="81">
        <v>0</v>
      </c>
      <c r="H5" s="134" t="str">
        <v>Korea Republic</v>
      </c>
      <c r="I5" s="132" t="str">
        <v>Bosnia and Herzegovina</v>
      </c>
      <c r="J5" s="81">
        <v>3</v>
      </c>
      <c r="K5" s="81">
        <v>1</v>
      </c>
      <c r="L5" s="134" t="str">
        <v>Qatar</v>
      </c>
      <c r="M5" s="132" t="str">
        <f>'2026 World Cup'!BL22</f>
        <v>Netherlands</v>
      </c>
      <c r="N5" s="81">
        <f>IF('2026 World Cup'!$BM22="",NA(),'2026 World Cup'!$BM22)</f>
        <v>1</v>
      </c>
      <c r="O5" s="81">
        <f>IF('2026 World Cup'!$BM23="",NA(),'2026 World Cup'!$BM23)</f>
        <v>2</v>
      </c>
      <c r="P5" s="134" t="str">
        <f>'2026 World Cup'!BL23</f>
        <v>Morocco</v>
      </c>
      <c r="Q5" s="132" t="str">
        <f>'2026 World Cup'!BS36</f>
        <v>United States</v>
      </c>
      <c r="R5" s="81" t="e">
        <f>IF('2026 World Cup'!$BT36="",NA(),'2026 World Cup'!$BT36)</f>
        <v>#N/A</v>
      </c>
      <c r="S5" s="81" t="e">
        <f>IF('2026 World Cup'!$BT37="",NA(),'2026 World Cup'!$BT37)</f>
        <v>#N/A</v>
      </c>
      <c r="T5" s="134" t="str">
        <f>'2026 World Cup'!BS37</f>
        <v>Belgium</v>
      </c>
      <c r="U5" s="135" t="str">
        <f>'2026 World Cup'!BZ64</f>
        <v/>
      </c>
      <c r="V5" s="153" t="e">
        <f>IF('2026 World Cup'!$CA64="",NA(),'2026 World Cup'!$CA64)</f>
        <v>#N/A</v>
      </c>
      <c r="W5" s="153" t="e">
        <f>IF('2026 World Cup'!$CA65="",NA(),'2026 World Cup'!$CA65)</f>
        <v>#N/A</v>
      </c>
      <c r="X5" s="136" t="str">
        <f>'2026 World Cup'!BZ65</f>
        <v/>
      </c>
    </row>
    <row r="6" spans="1:32" x14ac:dyDescent="0.2">
      <c r="A6" s="132" t="str">
        <v>Haiti</v>
      </c>
      <c r="B6" s="81">
        <v>0</v>
      </c>
      <c r="C6" s="81">
        <v>1</v>
      </c>
      <c r="D6" s="134" t="str">
        <v>Scotland</v>
      </c>
      <c r="E6" s="132" t="str">
        <v>Brazil</v>
      </c>
      <c r="F6" s="81">
        <v>3</v>
      </c>
      <c r="G6" s="81">
        <v>0</v>
      </c>
      <c r="H6" s="134" t="str">
        <v>Haiti</v>
      </c>
      <c r="I6" s="132" t="str">
        <v>Czech Republic</v>
      </c>
      <c r="J6" s="81">
        <v>0</v>
      </c>
      <c r="K6" s="81">
        <v>3</v>
      </c>
      <c r="L6" s="134" t="str">
        <v>Mexico</v>
      </c>
      <c r="M6" s="132" t="str">
        <f>'2026 World Cup'!BL26</f>
        <v>Portugal</v>
      </c>
      <c r="N6" s="81">
        <f>IF('2026 World Cup'!$BM26="",NA(),'2026 World Cup'!$BM26)</f>
        <v>2</v>
      </c>
      <c r="O6" s="81">
        <f>IF('2026 World Cup'!$BM27="",NA(),'2026 World Cup'!$BM27)</f>
        <v>1</v>
      </c>
      <c r="P6" s="134" t="str">
        <f>'2026 World Cup'!BL27</f>
        <v>Croatia</v>
      </c>
      <c r="Q6" s="132" t="str">
        <f>'2026 World Cup'!BS44</f>
        <v>Brazil</v>
      </c>
      <c r="R6" s="81">
        <f>IF('2026 World Cup'!$BT44="",NA(),'2026 World Cup'!$BT44)</f>
        <v>1</v>
      </c>
      <c r="S6" s="81">
        <f>IF('2026 World Cup'!$BT45="",NA(),'2026 World Cup'!$BT45)</f>
        <v>2</v>
      </c>
      <c r="T6" s="134" t="str">
        <f>'2026 World Cup'!BS45</f>
        <v>Norway</v>
      </c>
    </row>
    <row r="7" spans="1:32" x14ac:dyDescent="0.2">
      <c r="A7" s="132" t="str">
        <v>Australia</v>
      </c>
      <c r="B7" s="81">
        <v>2</v>
      </c>
      <c r="C7" s="81">
        <v>0</v>
      </c>
      <c r="D7" s="134" t="str">
        <v>Turkey</v>
      </c>
      <c r="E7" s="132" t="str">
        <v>Scotland</v>
      </c>
      <c r="F7" s="81">
        <v>0</v>
      </c>
      <c r="G7" s="81">
        <v>1</v>
      </c>
      <c r="H7" s="134" t="str">
        <v>Morocco</v>
      </c>
      <c r="I7" s="132" t="str">
        <v>South Africa</v>
      </c>
      <c r="J7" s="81">
        <v>1</v>
      </c>
      <c r="K7" s="81">
        <v>0</v>
      </c>
      <c r="L7" s="134" t="str">
        <v>Korea Republic</v>
      </c>
      <c r="M7" s="132" t="str">
        <f>'2026 World Cup'!BL30</f>
        <v>Spain</v>
      </c>
      <c r="N7" s="81">
        <f>IF('2026 World Cup'!$BM30="",NA(),'2026 World Cup'!$BM30)</f>
        <v>3</v>
      </c>
      <c r="O7" s="81">
        <f>IF('2026 World Cup'!$BM31="",NA(),'2026 World Cup'!$BM31)</f>
        <v>0</v>
      </c>
      <c r="P7" s="134" t="str">
        <f>'2026 World Cup'!BL31</f>
        <v>Austria</v>
      </c>
      <c r="Q7" s="132" t="str">
        <f>'2026 World Cup'!BS52</f>
        <v>Mexico</v>
      </c>
      <c r="R7" s="81">
        <f>IF('2026 World Cup'!$BT52="",NA(),'2026 World Cup'!$BT52)</f>
        <v>2</v>
      </c>
      <c r="S7" s="81">
        <f>IF('2026 World Cup'!$BT53="",NA(),'2026 World Cup'!$BT53)</f>
        <v>3</v>
      </c>
      <c r="T7" s="134" t="str">
        <f>'2026 World Cup'!BS53</f>
        <v>England</v>
      </c>
    </row>
    <row r="8" spans="1:32" x14ac:dyDescent="0.2">
      <c r="A8" s="132" t="str">
        <v>Brazil</v>
      </c>
      <c r="B8" s="81">
        <v>1</v>
      </c>
      <c r="C8" s="81">
        <v>1</v>
      </c>
      <c r="D8" s="134" t="str">
        <v>Morocco</v>
      </c>
      <c r="E8" s="132" t="str">
        <v>United States</v>
      </c>
      <c r="F8" s="81">
        <v>2</v>
      </c>
      <c r="G8" s="81">
        <v>0</v>
      </c>
      <c r="H8" s="134" t="str">
        <v>Australia</v>
      </c>
      <c r="I8" s="132" t="str">
        <v>Curaçao</v>
      </c>
      <c r="J8" s="81">
        <v>0</v>
      </c>
      <c r="K8" s="81">
        <v>2</v>
      </c>
      <c r="L8" s="134" t="str">
        <v>Ivory Coast</v>
      </c>
      <c r="M8" s="132" t="str">
        <f>'2026 World Cup'!BL34</f>
        <v>United States</v>
      </c>
      <c r="N8" s="81">
        <f>IF('2026 World Cup'!$BM34="",NA(),'2026 World Cup'!$BM34)</f>
        <v>2</v>
      </c>
      <c r="O8" s="81">
        <f>IF('2026 World Cup'!$BM35="",NA(),'2026 World Cup'!$BM35)</f>
        <v>0</v>
      </c>
      <c r="P8" s="134" t="str">
        <f>'2026 World Cup'!BL35</f>
        <v>Bosnia and Herzegovina</v>
      </c>
      <c r="Q8" s="132" t="str">
        <f>'2026 World Cup'!BS60</f>
        <v>Argentina</v>
      </c>
      <c r="R8" s="81" t="e">
        <f>IF('2026 World Cup'!$BT60="",NA(),'2026 World Cup'!$BT60)</f>
        <v>#N/A</v>
      </c>
      <c r="S8" s="81" t="e">
        <f>IF('2026 World Cup'!$BT61="",NA(),'2026 World Cup'!$BT61)</f>
        <v>#N/A</v>
      </c>
      <c r="T8" s="134" t="str">
        <f>'2026 World Cup'!BS61</f>
        <v>Egypt</v>
      </c>
    </row>
    <row r="9" spans="1:32" x14ac:dyDescent="0.2">
      <c r="A9" s="132" t="str">
        <v>Qatar</v>
      </c>
      <c r="B9" s="81">
        <v>1</v>
      </c>
      <c r="C9" s="81">
        <v>1</v>
      </c>
      <c r="D9" s="134" t="str">
        <v>Switzerland</v>
      </c>
      <c r="E9" s="132" t="str">
        <v>Turkey</v>
      </c>
      <c r="F9" s="81">
        <v>0</v>
      </c>
      <c r="G9" s="81">
        <v>1</v>
      </c>
      <c r="H9" s="134" t="str">
        <v>Paraguay</v>
      </c>
      <c r="I9" s="132" t="str">
        <v>Ecuador</v>
      </c>
      <c r="J9" s="81">
        <v>2</v>
      </c>
      <c r="K9" s="81">
        <v>1</v>
      </c>
      <c r="L9" s="134" t="str">
        <v>Germany</v>
      </c>
      <c r="M9" s="132" t="str">
        <f>'2026 World Cup'!BL38</f>
        <v>Belgium</v>
      </c>
      <c r="N9" s="81">
        <f>IF('2026 World Cup'!$BM38="",NA(),'2026 World Cup'!$BM38)</f>
        <v>3</v>
      </c>
      <c r="O9" s="81">
        <f>IF('2026 World Cup'!$BM39="",NA(),'2026 World Cup'!$BM39)</f>
        <v>2</v>
      </c>
      <c r="P9" s="134" t="str">
        <f>'2026 World Cup'!BL39</f>
        <v>Senegal</v>
      </c>
      <c r="Q9" s="135" t="str">
        <f>'2026 World Cup'!BS68</f>
        <v>Switzerland</v>
      </c>
      <c r="R9" s="153" t="e">
        <f>IF('2026 World Cup'!$BT68="",NA(),'2026 World Cup'!$BT68)</f>
        <v>#N/A</v>
      </c>
      <c r="S9" s="153" t="e">
        <f>IF('2026 World Cup'!$BT69="",NA(),'2026 World Cup'!$BT69)</f>
        <v>#N/A</v>
      </c>
      <c r="T9" s="136" t="str">
        <f>'2026 World Cup'!BS69</f>
        <v>Colombia</v>
      </c>
    </row>
    <row r="10" spans="1:32" x14ac:dyDescent="0.2">
      <c r="A10" s="132" t="str">
        <v>Ivory Coast</v>
      </c>
      <c r="B10" s="81">
        <v>1</v>
      </c>
      <c r="C10" s="81">
        <v>0</v>
      </c>
      <c r="D10" s="134" t="str">
        <v>Ecuador</v>
      </c>
      <c r="E10" s="132" t="str">
        <v>Germany</v>
      </c>
      <c r="F10" s="81">
        <v>2</v>
      </c>
      <c r="G10" s="81">
        <v>1</v>
      </c>
      <c r="H10" s="134" t="str">
        <v>Ivory Coast</v>
      </c>
      <c r="I10" s="132" t="str">
        <v>Japan</v>
      </c>
      <c r="J10" s="81">
        <v>1</v>
      </c>
      <c r="K10" s="81">
        <v>1</v>
      </c>
      <c r="L10" s="134" t="str">
        <v>Sweden</v>
      </c>
      <c r="M10" s="132" t="str">
        <f>'2026 World Cup'!BL42</f>
        <v>Brazil</v>
      </c>
      <c r="N10" s="81">
        <f>IF('2026 World Cup'!$BM42="",NA(),'2026 World Cup'!$BM42)</f>
        <v>2</v>
      </c>
      <c r="O10" s="81">
        <f>IF('2026 World Cup'!$BM43="",NA(),'2026 World Cup'!$BM43)</f>
        <v>1</v>
      </c>
      <c r="P10" s="134" t="str">
        <f>'2026 World Cup'!BL43</f>
        <v>Japan</v>
      </c>
    </row>
    <row r="11" spans="1:32" x14ac:dyDescent="0.2">
      <c r="A11" s="132" t="str">
        <v>Germany</v>
      </c>
      <c r="B11" s="81">
        <v>7</v>
      </c>
      <c r="C11" s="81">
        <v>1</v>
      </c>
      <c r="D11" s="134" t="str">
        <v>Curaçao</v>
      </c>
      <c r="E11" s="132" t="str">
        <v>Ecuador</v>
      </c>
      <c r="F11" s="81">
        <v>0</v>
      </c>
      <c r="G11" s="81">
        <v>0</v>
      </c>
      <c r="H11" s="134" t="str">
        <v>Curaçao</v>
      </c>
      <c r="I11" s="132" t="str">
        <v>Tunisia</v>
      </c>
      <c r="J11" s="81">
        <v>1</v>
      </c>
      <c r="K11" s="81">
        <v>3</v>
      </c>
      <c r="L11" s="134" t="str">
        <v>Netherlands</v>
      </c>
      <c r="M11" s="132" t="str">
        <f>'2026 World Cup'!BL46</f>
        <v>Ivory Coast</v>
      </c>
      <c r="N11" s="81">
        <f>IF('2026 World Cup'!$BM46="",NA(),'2026 World Cup'!$BM46)</f>
        <v>1</v>
      </c>
      <c r="O11" s="81">
        <f>IF('2026 World Cup'!$BM47="",NA(),'2026 World Cup'!$BM47)</f>
        <v>2</v>
      </c>
      <c r="P11" s="134" t="str">
        <f>'2026 World Cup'!BL47</f>
        <v>Norway</v>
      </c>
    </row>
    <row r="12" spans="1:32" x14ac:dyDescent="0.2">
      <c r="A12" s="132" t="str">
        <v>Netherlands</v>
      </c>
      <c r="B12" s="81">
        <v>2</v>
      </c>
      <c r="C12" s="81">
        <v>2</v>
      </c>
      <c r="D12" s="134" t="str">
        <v>Japan</v>
      </c>
      <c r="E12" s="132" t="str">
        <v>Netherlands</v>
      </c>
      <c r="F12" s="81">
        <v>5</v>
      </c>
      <c r="G12" s="81">
        <v>1</v>
      </c>
      <c r="H12" s="134" t="str">
        <v>Sweden</v>
      </c>
      <c r="I12" s="132" t="str">
        <v>Turkey</v>
      </c>
      <c r="J12" s="81">
        <v>3</v>
      </c>
      <c r="K12" s="81">
        <v>2</v>
      </c>
      <c r="L12" s="134" t="str">
        <v>United States</v>
      </c>
      <c r="M12" s="132" t="str">
        <f>'2026 World Cup'!BL50</f>
        <v>Mexico</v>
      </c>
      <c r="N12" s="81">
        <f>IF('2026 World Cup'!$BM50="",NA(),'2026 World Cup'!$BM50)</f>
        <v>2</v>
      </c>
      <c r="O12" s="81">
        <f>IF('2026 World Cup'!$BM51="",NA(),'2026 World Cup'!$BM51)</f>
        <v>0</v>
      </c>
      <c r="P12" s="134" t="str">
        <f>'2026 World Cup'!BL51</f>
        <v>Ecuador</v>
      </c>
    </row>
    <row r="13" spans="1:32" x14ac:dyDescent="0.2">
      <c r="A13" s="132" t="str">
        <v>Sweden</v>
      </c>
      <c r="B13" s="81">
        <v>5</v>
      </c>
      <c r="C13" s="81">
        <v>1</v>
      </c>
      <c r="D13" s="134" t="str">
        <v>Tunisia</v>
      </c>
      <c r="E13" s="132" t="str">
        <v>Tunisia</v>
      </c>
      <c r="F13" s="81">
        <v>0</v>
      </c>
      <c r="G13" s="81">
        <v>4</v>
      </c>
      <c r="H13" s="134" t="str">
        <v>Japan</v>
      </c>
      <c r="I13" s="132" t="str">
        <v>Paraguay</v>
      </c>
      <c r="J13" s="81">
        <v>0</v>
      </c>
      <c r="K13" s="81">
        <v>0</v>
      </c>
      <c r="L13" s="134" t="str">
        <v>Australia</v>
      </c>
      <c r="M13" s="132" t="str">
        <f>'2026 World Cup'!BL54</f>
        <v>England</v>
      </c>
      <c r="N13" s="81">
        <f>IF('2026 World Cup'!$BM54="",NA(),'2026 World Cup'!$BM54)</f>
        <v>2</v>
      </c>
      <c r="O13" s="81">
        <f>IF('2026 World Cup'!$BM55="",NA(),'2026 World Cup'!$BM55)</f>
        <v>1</v>
      </c>
      <c r="P13" s="134" t="str">
        <f>'2026 World Cup'!BL55</f>
        <v>DR Congo</v>
      </c>
    </row>
    <row r="14" spans="1:32" x14ac:dyDescent="0.2">
      <c r="A14" s="132" t="str">
        <v>Saudi Arabia</v>
      </c>
      <c r="B14" s="81">
        <v>1</v>
      </c>
      <c r="C14" s="81">
        <v>1</v>
      </c>
      <c r="D14" s="134" t="str">
        <v>Uruguay</v>
      </c>
      <c r="E14" s="132" t="str">
        <v>Uruguay</v>
      </c>
      <c r="F14" s="81">
        <v>2</v>
      </c>
      <c r="G14" s="81">
        <v>2</v>
      </c>
      <c r="H14" s="134" t="str">
        <v>Cape Verde</v>
      </c>
      <c r="I14" s="132" t="str">
        <v>Norway</v>
      </c>
      <c r="J14" s="81">
        <v>1</v>
      </c>
      <c r="K14" s="81">
        <v>4</v>
      </c>
      <c r="L14" s="134" t="str">
        <v>France</v>
      </c>
      <c r="M14" s="132" t="str">
        <f>'2026 World Cup'!BL58</f>
        <v>Argentina</v>
      </c>
      <c r="N14" s="81">
        <f>IF('2026 World Cup'!$BM58="",NA(),'2026 World Cup'!$BM58)</f>
        <v>3</v>
      </c>
      <c r="O14" s="81">
        <f>IF('2026 World Cup'!$BM59="",NA(),'2026 World Cup'!$BM59)</f>
        <v>2</v>
      </c>
      <c r="P14" s="134" t="str">
        <f>'2026 World Cup'!BL59</f>
        <v>Cape Verde</v>
      </c>
    </row>
    <row r="15" spans="1:32" x14ac:dyDescent="0.2">
      <c r="A15" s="132" t="str">
        <v>Spain</v>
      </c>
      <c r="B15" s="81">
        <v>0</v>
      </c>
      <c r="C15" s="81">
        <v>0</v>
      </c>
      <c r="D15" s="134" t="str">
        <v>Cape Verde</v>
      </c>
      <c r="E15" s="132" t="str">
        <v>Spain</v>
      </c>
      <c r="F15" s="81">
        <v>4</v>
      </c>
      <c r="G15" s="81">
        <v>0</v>
      </c>
      <c r="H15" s="134" t="str">
        <v>Saudi Arabia</v>
      </c>
      <c r="I15" s="132" t="str">
        <v>Senegal</v>
      </c>
      <c r="J15" s="81">
        <v>5</v>
      </c>
      <c r="K15" s="81">
        <v>0</v>
      </c>
      <c r="L15" s="134" t="str">
        <v>Iraq</v>
      </c>
      <c r="M15" s="132" t="str">
        <f>'2026 World Cup'!BL62</f>
        <v>Australia</v>
      </c>
      <c r="N15" s="81">
        <f>IF('2026 World Cup'!$BM62="",NA(),'2026 World Cup'!$BM62)</f>
        <v>1</v>
      </c>
      <c r="O15" s="81">
        <f>IF('2026 World Cup'!$BM63="",NA(),'2026 World Cup'!$BM63)</f>
        <v>2</v>
      </c>
      <c r="P15" s="134" t="str">
        <f>'2026 World Cup'!BL63</f>
        <v>Egypt</v>
      </c>
    </row>
    <row r="16" spans="1:32" x14ac:dyDescent="0.2">
      <c r="A16" s="132" t="str">
        <v>Iran</v>
      </c>
      <c r="B16" s="81">
        <v>2</v>
      </c>
      <c r="C16" s="81">
        <v>2</v>
      </c>
      <c r="D16" s="134" t="str">
        <v>New Zealand</v>
      </c>
      <c r="E16" s="132" t="str">
        <v>Belgium</v>
      </c>
      <c r="F16" s="81">
        <v>0</v>
      </c>
      <c r="G16" s="81">
        <v>0</v>
      </c>
      <c r="H16" s="134" t="str">
        <v>Iran</v>
      </c>
      <c r="I16" s="132" t="str">
        <v>Egypt</v>
      </c>
      <c r="J16" s="81">
        <v>1</v>
      </c>
      <c r="K16" s="81">
        <v>1</v>
      </c>
      <c r="L16" s="134" t="str">
        <v>Iran</v>
      </c>
      <c r="M16" s="132" t="str">
        <f>'2026 World Cup'!BL66</f>
        <v>Switzerland</v>
      </c>
      <c r="N16" s="81">
        <f>IF('2026 World Cup'!$BM66="",NA(),'2026 World Cup'!$BM66)</f>
        <v>2</v>
      </c>
      <c r="O16" s="81">
        <f>IF('2026 World Cup'!$BM67="",NA(),'2026 World Cup'!$BM67)</f>
        <v>0</v>
      </c>
      <c r="P16" s="134" t="str">
        <f>'2026 World Cup'!BL67</f>
        <v>Algeria</v>
      </c>
    </row>
    <row r="17" spans="1:16" x14ac:dyDescent="0.2">
      <c r="A17" s="132" t="str">
        <v>Belgium</v>
      </c>
      <c r="B17" s="81">
        <v>1</v>
      </c>
      <c r="C17" s="81">
        <v>1</v>
      </c>
      <c r="D17" s="134" t="str">
        <v>Egypt</v>
      </c>
      <c r="E17" s="132" t="str">
        <v>New Zealand</v>
      </c>
      <c r="F17" s="81">
        <v>1</v>
      </c>
      <c r="G17" s="81">
        <v>3</v>
      </c>
      <c r="H17" s="134" t="str">
        <v>Egypt</v>
      </c>
      <c r="I17" s="132" t="str">
        <v>New Zealand</v>
      </c>
      <c r="J17" s="81">
        <v>1</v>
      </c>
      <c r="K17" s="81">
        <v>5</v>
      </c>
      <c r="L17" s="134" t="str">
        <v>Belgium</v>
      </c>
      <c r="M17" s="135" t="str">
        <f>'2026 World Cup'!BL70</f>
        <v>Colombia</v>
      </c>
      <c r="N17" s="153">
        <f>IF('2026 World Cup'!$BM70="",NA(),'2026 World Cup'!$BM70)</f>
        <v>1</v>
      </c>
      <c r="O17" s="153">
        <f>IF('2026 World Cup'!$BM71="",NA(),'2026 World Cup'!$BM71)</f>
        <v>0</v>
      </c>
      <c r="P17" s="136" t="str">
        <f>'2026 World Cup'!BL71</f>
        <v>Ghana</v>
      </c>
    </row>
    <row r="18" spans="1:16" x14ac:dyDescent="0.2">
      <c r="A18" s="132" t="str">
        <v>France</v>
      </c>
      <c r="B18" s="81">
        <v>3</v>
      </c>
      <c r="C18" s="81">
        <v>1</v>
      </c>
      <c r="D18" s="134" t="str">
        <v>Senegal</v>
      </c>
      <c r="E18" s="132" t="str">
        <v>Norway</v>
      </c>
      <c r="F18" s="81">
        <v>3</v>
      </c>
      <c r="G18" s="81">
        <v>2</v>
      </c>
      <c r="H18" s="134" t="str">
        <v>Senegal</v>
      </c>
      <c r="I18" s="132" t="str">
        <v>Cape Verde</v>
      </c>
      <c r="J18" s="81">
        <v>0</v>
      </c>
      <c r="K18" s="81">
        <v>0</v>
      </c>
      <c r="L18" s="134" t="str">
        <v>Saudi Arabia</v>
      </c>
    </row>
    <row r="19" spans="1:16" x14ac:dyDescent="0.2">
      <c r="A19" s="132" t="str">
        <v>Iraq</v>
      </c>
      <c r="B19" s="81">
        <v>1</v>
      </c>
      <c r="C19" s="81">
        <v>4</v>
      </c>
      <c r="D19" s="134" t="str">
        <v>Norway</v>
      </c>
      <c r="E19" s="132" t="str">
        <v>France</v>
      </c>
      <c r="F19" s="81">
        <v>3</v>
      </c>
      <c r="G19" s="81">
        <v>0</v>
      </c>
      <c r="H19" s="134" t="str">
        <v>Iraq</v>
      </c>
      <c r="I19" s="132" t="str">
        <v>Uruguay</v>
      </c>
      <c r="J19" s="81">
        <v>0</v>
      </c>
      <c r="K19" s="81">
        <v>1</v>
      </c>
      <c r="L19" s="134" t="str">
        <v>Spain</v>
      </c>
    </row>
    <row r="20" spans="1:16" x14ac:dyDescent="0.2">
      <c r="A20" s="132" t="str">
        <v>Argentina</v>
      </c>
      <c r="B20" s="81">
        <v>3</v>
      </c>
      <c r="C20" s="81">
        <v>0</v>
      </c>
      <c r="D20" s="134" t="str">
        <v>Algeria</v>
      </c>
      <c r="E20" s="132" t="str">
        <v>Argentina</v>
      </c>
      <c r="F20" s="81">
        <v>2</v>
      </c>
      <c r="G20" s="81">
        <v>0</v>
      </c>
      <c r="H20" s="134" t="str">
        <v>Austria</v>
      </c>
      <c r="I20" s="132" t="str">
        <v>Panama</v>
      </c>
      <c r="J20" s="81">
        <v>0</v>
      </c>
      <c r="K20" s="81">
        <v>2</v>
      </c>
      <c r="L20" s="134" t="str">
        <v>England</v>
      </c>
    </row>
    <row r="21" spans="1:16" x14ac:dyDescent="0.2">
      <c r="A21" s="132" t="str">
        <v>Austria</v>
      </c>
      <c r="B21" s="81">
        <v>3</v>
      </c>
      <c r="C21" s="81">
        <v>1</v>
      </c>
      <c r="D21" s="134" t="str">
        <v>Jordan</v>
      </c>
      <c r="E21" s="132" t="str">
        <v>Jordan</v>
      </c>
      <c r="F21" s="81">
        <v>1</v>
      </c>
      <c r="G21" s="81">
        <v>2</v>
      </c>
      <c r="H21" s="134" t="str">
        <v>Algeria</v>
      </c>
      <c r="I21" s="132" t="str">
        <v>Croatia</v>
      </c>
      <c r="J21" s="81">
        <v>2</v>
      </c>
      <c r="K21" s="81">
        <v>1</v>
      </c>
      <c r="L21" s="134" t="str">
        <v>Ghana</v>
      </c>
    </row>
    <row r="22" spans="1:16" x14ac:dyDescent="0.2">
      <c r="A22" s="132" t="str">
        <v>Ghana</v>
      </c>
      <c r="B22" s="81">
        <v>1</v>
      </c>
      <c r="C22" s="81">
        <v>0</v>
      </c>
      <c r="D22" s="134" t="str">
        <v>Panama</v>
      </c>
      <c r="E22" s="132" t="str">
        <v>England</v>
      </c>
      <c r="F22" s="81">
        <v>0</v>
      </c>
      <c r="G22" s="81">
        <v>0</v>
      </c>
      <c r="H22" s="134" t="str">
        <v>Ghana</v>
      </c>
      <c r="I22" s="132" t="str">
        <v>Algeria</v>
      </c>
      <c r="J22" s="81">
        <v>3</v>
      </c>
      <c r="K22" s="81">
        <v>3</v>
      </c>
      <c r="L22" s="134" t="str">
        <v>Austria</v>
      </c>
    </row>
    <row r="23" spans="1:16" x14ac:dyDescent="0.2">
      <c r="A23" s="132" t="str">
        <v>England</v>
      </c>
      <c r="B23" s="81">
        <v>4</v>
      </c>
      <c r="C23" s="81">
        <v>2</v>
      </c>
      <c r="D23" s="134" t="str">
        <v>Croatia</v>
      </c>
      <c r="E23" s="132" t="str">
        <v>Panama</v>
      </c>
      <c r="F23" s="81">
        <v>0</v>
      </c>
      <c r="G23" s="81">
        <v>1</v>
      </c>
      <c r="H23" s="134" t="str">
        <v>Croatia</v>
      </c>
      <c r="I23" s="132" t="str">
        <v>Jordan</v>
      </c>
      <c r="J23" s="81">
        <v>1</v>
      </c>
      <c r="K23" s="81">
        <v>3</v>
      </c>
      <c r="L23" s="134" t="str">
        <v>Argentina</v>
      </c>
    </row>
    <row r="24" spans="1:16" x14ac:dyDescent="0.2">
      <c r="A24" s="132" t="str">
        <v>Portugal</v>
      </c>
      <c r="B24" s="81">
        <v>1</v>
      </c>
      <c r="C24" s="81">
        <v>1</v>
      </c>
      <c r="D24" s="134" t="str">
        <v>DR Congo</v>
      </c>
      <c r="E24" s="132" t="str">
        <v>Portugal</v>
      </c>
      <c r="F24" s="81">
        <v>5</v>
      </c>
      <c r="G24" s="81">
        <v>0</v>
      </c>
      <c r="H24" s="134" t="str">
        <v>Uzbekistan</v>
      </c>
      <c r="I24" s="132" t="str">
        <v>Colombia</v>
      </c>
      <c r="J24" s="81">
        <v>0</v>
      </c>
      <c r="K24" s="81">
        <v>0</v>
      </c>
      <c r="L24" s="134" t="str">
        <v>Portugal</v>
      </c>
    </row>
    <row r="25" spans="1:16" x14ac:dyDescent="0.2">
      <c r="A25" s="135" t="str">
        <v>Uzbekistan</v>
      </c>
      <c r="B25" s="153">
        <v>1</v>
      </c>
      <c r="C25" s="153">
        <v>3</v>
      </c>
      <c r="D25" s="136" t="str">
        <v>Colombia</v>
      </c>
      <c r="E25" s="135" t="str">
        <v>Colombia</v>
      </c>
      <c r="F25" s="153">
        <v>1</v>
      </c>
      <c r="G25" s="153">
        <v>0</v>
      </c>
      <c r="H25" s="136" t="str">
        <v>DR Congo</v>
      </c>
      <c r="I25" s="135" t="str">
        <v>DR Congo</v>
      </c>
      <c r="J25" s="153">
        <v>3</v>
      </c>
      <c r="K25" s="153">
        <v>1</v>
      </c>
      <c r="L25" s="136" t="str">
        <v>Uzbekistan</v>
      </c>
    </row>
  </sheetData>
  <sheetProtection selectLockedCells="1"/>
  <mergeCells count="8">
    <mergeCell ref="Y1:AB1"/>
    <mergeCell ref="AC1:AF1"/>
    <mergeCell ref="A1:D1"/>
    <mergeCell ref="E1:H1"/>
    <mergeCell ref="I1:L1"/>
    <mergeCell ref="M1:P1"/>
    <mergeCell ref="Q1:T1"/>
    <mergeCell ref="U1:X1"/>
  </mergeCells>
  <phoneticPr fontId="25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opLeftCell="J28" zoomScale="112" zoomScaleNormal="100" workbookViewId="0">
      <selection activeCell="BT13" sqref="BT13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71" t="str" cm="1">
        <f t="array" ref="A1">INDEX(T,2,lang)</f>
        <v>2026 World Cup Final Tournament Schedule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72" t="str">
        <f>"Language: " &amp; Settings!C4</f>
        <v>Language: English</v>
      </c>
      <c r="P3" s="172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73" t="str" cm="1">
        <f t="array" ref="A5">INDEX(T,3,lang)</f>
        <v>Group Stage</v>
      </c>
      <c r="B5" s="174"/>
      <c r="C5" s="174"/>
      <c r="D5" s="174"/>
      <c r="E5" s="174"/>
      <c r="F5" s="174"/>
      <c r="G5" s="174"/>
      <c r="H5" s="175"/>
      <c r="J5" s="179" t="s">
        <v>3166</v>
      </c>
      <c r="K5" s="180"/>
      <c r="L5" s="180"/>
      <c r="M5" s="180"/>
      <c r="N5" s="180"/>
      <c r="O5" s="180"/>
      <c r="P5" s="181"/>
    </row>
    <row r="6" spans="1:95" ht="15" customHeight="1" x14ac:dyDescent="0.2">
      <c r="A6" s="176"/>
      <c r="B6" s="177"/>
      <c r="C6" s="177"/>
      <c r="D6" s="177"/>
      <c r="E6" s="177"/>
      <c r="F6" s="177"/>
      <c r="G6" s="177"/>
      <c r="H6" s="178"/>
      <c r="J6" s="182"/>
      <c r="K6" s="183"/>
      <c r="L6" s="183"/>
      <c r="M6" s="183"/>
      <c r="N6" s="183"/>
      <c r="O6" s="183"/>
      <c r="P6" s="184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65" t="s">
        <v>3179</v>
      </c>
      <c r="BL6" s="166"/>
      <c r="BM6" s="166"/>
      <c r="BN6" s="166"/>
      <c r="BO6" s="167"/>
      <c r="BR6" s="165" t="str" cm="1">
        <f t="array" ref="BR6">INDEX(T,4,lang)</f>
        <v>Round of 16</v>
      </c>
      <c r="BS6" s="166"/>
      <c r="BT6" s="166"/>
      <c r="BU6" s="166"/>
      <c r="BV6" s="167"/>
      <c r="BY6" s="165" t="str" cm="1">
        <f t="array" ref="BY6">INDEX(T,5,lang)</f>
        <v>Quarterfinals</v>
      </c>
      <c r="BZ6" s="166"/>
      <c r="CA6" s="166"/>
      <c r="CB6" s="166"/>
      <c r="CC6" s="167"/>
      <c r="CF6" s="165" t="str" cm="1">
        <f t="array" ref="CF6">INDEX(T,6,lang)</f>
        <v>Semi-Finals</v>
      </c>
      <c r="CG6" s="166"/>
      <c r="CH6" s="166"/>
      <c r="CI6" s="166"/>
      <c r="CJ6" s="167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68"/>
      <c r="BL7" s="169"/>
      <c r="BM7" s="169"/>
      <c r="BN7" s="169"/>
      <c r="BO7" s="170"/>
      <c r="BR7" s="168"/>
      <c r="BS7" s="169"/>
      <c r="BT7" s="169"/>
      <c r="BU7" s="169"/>
      <c r="BV7" s="170"/>
      <c r="BY7" s="168"/>
      <c r="BZ7" s="169"/>
      <c r="CA7" s="169"/>
      <c r="CB7" s="169"/>
      <c r="CC7" s="170"/>
      <c r="CF7" s="168"/>
      <c r="CG7" s="169"/>
      <c r="CH7" s="169"/>
      <c r="CI7" s="169"/>
      <c r="CJ7" s="170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0</v>
      </c>
      <c r="AL8" s="123">
        <f>AI8-AJ8</f>
        <v>6</v>
      </c>
      <c r="AM8" s="123">
        <f>AL8-AL12</f>
        <v>10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90000009.948892459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6 - 0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2</v>
      </c>
      <c r="AJ9" s="123">
        <f>SUMIF($E$7:$E$78,$AE9,$G$7:$G$78) + SUMIF($H$7:$H$78,$AE9,$F$7:$F$78)</f>
        <v>3</v>
      </c>
      <c r="AL9" s="123">
        <f>AI9-AJ9</f>
        <v>-1</v>
      </c>
      <c r="AM9" s="123">
        <f>AL9-AL12</f>
        <v>3</v>
      </c>
      <c r="AN9" s="123">
        <f>AF9*3+AG9</f>
        <v>4</v>
      </c>
      <c r="AO9" s="123">
        <f>AN9/AN12*10+BA9</f>
        <v>4</v>
      </c>
      <c r="AP9" s="123">
        <f>AO9*10000000+BI9*100+AM9/AM12*10+AI9/AI12*1++IF(AQ9=0,ROW(),AQ9)/2000000</f>
        <v>40000003.013701878</v>
      </c>
      <c r="AQ9" s="126">
        <f>VLOOKUP(AE9,db_fifarank,2,FALSE)</f>
        <v>1429.73</v>
      </c>
      <c r="AR9" s="125">
        <f>AP9/AP12</f>
        <v>0.44444442386141864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4</v>
      </c>
      <c r="G10" s="20">
        <v>1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3</v>
      </c>
      <c r="AL10" s="123">
        <f>AI10-AJ10</f>
        <v>-1</v>
      </c>
      <c r="AM10" s="123">
        <f>AL10-AL12</f>
        <v>3</v>
      </c>
      <c r="AN10" s="123">
        <f>AF10*3+AG10</f>
        <v>3</v>
      </c>
      <c r="AO10" s="123">
        <f>AN10/AN12*10+BA10</f>
        <v>3</v>
      </c>
      <c r="AP10" s="123">
        <f>AO10*10000000+BI10*100+AM10/AM12*10+AI10/AI12*1++IF(AQ10=0,ROW(),AQ10)/2000000</f>
        <v>30000003.013781343</v>
      </c>
      <c r="AQ10" s="126">
        <f>VLOOKUP(AE10,db_fifarank,2,FALSE)</f>
        <v>1588.66</v>
      </c>
      <c r="AR10" s="125">
        <f>AP10/AP12</f>
        <v>0.33333332626834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63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2 - 3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6</v>
      </c>
      <c r="AL11" s="123">
        <f>AI11-AJ11</f>
        <v>-4</v>
      </c>
      <c r="AM11" s="123">
        <f>AL11-AL12</f>
        <v>0</v>
      </c>
      <c r="AN11" s="123">
        <f>AF11*3+AG11</f>
        <v>1</v>
      </c>
      <c r="AO11" s="123">
        <f>AN11/AN12*10+BA11</f>
        <v>1</v>
      </c>
      <c r="AP11" s="123">
        <f>AO11*10000000+BI11*100+AM11/AM12*10+AI11/AI12*1++IF(AQ11=0,ROW(),AQ11)/2000000</f>
        <v>10000000.286464976</v>
      </c>
      <c r="AQ11" s="126">
        <f>VLOOKUP(AE11,db_fifarank,2,FALSE)</f>
        <v>1501.38</v>
      </c>
      <c r="AR11" s="125">
        <f>AP11/AP12</f>
        <v>0.11111110077690536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64"/>
      <c r="BL11" s="26" t="str">
        <f>IF(group_round_completed,VLOOKUP('3rd places'!G3,AK80:AS91,9,FALSE),"3rd Group A/B/C/D/F")</f>
        <v>Paraguay</v>
      </c>
      <c r="BM11" s="62">
        <v>2</v>
      </c>
      <c r="BN11" s="64"/>
      <c r="BO11" s="27"/>
      <c r="BP11" s="113">
        <f>IF(BP10="","",BM11*1000+BN11*10+BO11)</f>
        <v>2000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2</v>
      </c>
      <c r="G12" s="20">
        <v>0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2 - 6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-4</v>
      </c>
      <c r="AM12" s="123">
        <f>MAX(AM8:AM11)+1</f>
        <v>11</v>
      </c>
      <c r="AN12" s="123">
        <f>MAX(AN8:AN11)+1</f>
        <v>10</v>
      </c>
      <c r="AO12" s="123">
        <f>MAX(AO8:AO11)+1</f>
        <v>10</v>
      </c>
      <c r="AP12" s="123">
        <f>MAX(AP8:AP11)+1</f>
        <v>90000010.948892459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63">
        <v>89</v>
      </c>
      <c r="BS12" s="24" t="str">
        <f>IF(BP10&gt;BP11,BL10,IF(BP10&lt;BP11,BL11,""))</f>
        <v>Paraguay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64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8</v>
      </c>
      <c r="AJ14" s="123">
        <f>SUMIF($E$7:$E$78,$AE14,$G$7:$G$78) + SUMIF($H$7:$H$78,$AE14,$F$7:$F$78)</f>
        <v>3</v>
      </c>
      <c r="AL14" s="123">
        <f>AI14-AJ14</f>
        <v>5</v>
      </c>
      <c r="AM14" s="123">
        <f>AL14-AL18</f>
        <v>13</v>
      </c>
      <c r="AN14" s="123">
        <f>AF14*3+AG14</f>
        <v>4</v>
      </c>
      <c r="AO14" s="123">
        <f>AN14/AN18*10+BA14</f>
        <v>5.9805825242718447</v>
      </c>
      <c r="AP14" s="123">
        <f>AO14*10000000+BI14*100+AM14/AM18*10+AI14/AI18*1++IF(AQ14=0,ROW(),AQ14)/2000000</f>
        <v>59805933.476352282</v>
      </c>
      <c r="AQ14" s="126">
        <f>VLOOKUP(AE14,db_fifarank,2,FALSE)</f>
        <v>1556.48</v>
      </c>
      <c r="AR14" s="125">
        <f>AP14/AP18</f>
        <v>0.68349630173879239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63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7 - 3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6</v>
      </c>
      <c r="AL15" s="123">
        <f>AI15-AJ15</f>
        <v>-1</v>
      </c>
      <c r="AM15" s="123">
        <f>AL15-AL18</f>
        <v>7</v>
      </c>
      <c r="AN15" s="123">
        <f>AF15*3+AG15</f>
        <v>4</v>
      </c>
      <c r="AO15" s="123">
        <f>AN15/AN18*10+BA15</f>
        <v>5.9805825242718447</v>
      </c>
      <c r="AP15" s="123">
        <f>AO15*10000000+BI15*100+AM15/AM18*10+AI15/AI18*1++IF(AQ15=0,ROW(),AQ15)/2000000</f>
        <v>59805928.857219338</v>
      </c>
      <c r="AQ15" s="126">
        <f>VLOOKUP(AE15,db_fifarank,2,FALSE)</f>
        <v>1385.84</v>
      </c>
      <c r="AR15" s="125">
        <f>AP15/AP18</f>
        <v>0.68349624894870786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64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7</v>
      </c>
      <c r="G16" s="20">
        <v>1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8 - 3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10</v>
      </c>
      <c r="AL16" s="123">
        <f>AI16-AJ16</f>
        <v>-8</v>
      </c>
      <c r="AM16" s="123">
        <f>AL16-AL18</f>
        <v>0</v>
      </c>
      <c r="AN16" s="123">
        <f>AF16*3+AG16</f>
        <v>1</v>
      </c>
      <c r="AO16" s="123">
        <f>AN16/AN18*10+BA16</f>
        <v>1.25</v>
      </c>
      <c r="AP16" s="123">
        <f>AO16*10000000+BI16*100+AM16/AM18*10+AI16/AI18*1++IF(AQ16=0,ROW(),AQ16)/2000000</f>
        <v>12500000.222949702</v>
      </c>
      <c r="AQ16" s="126">
        <f>VLOOKUP(AE16,db_fifarank,2,FALSE)</f>
        <v>1454.96</v>
      </c>
      <c r="AR16" s="125">
        <f>AP16/AP18</f>
        <v>0.14285712850713128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63">
        <v>97</v>
      </c>
      <c r="BZ16" s="24" t="str">
        <f>IF(BW12&gt;BW13,BS12,IF(BW12&lt;BW13,BS13,""))</f>
        <v>France</v>
      </c>
      <c r="CA16" s="61"/>
      <c r="CB16" s="63"/>
      <c r="CC16" s="25"/>
      <c r="CD16" s="112" t="str">
        <f>IF(OR(CA16="",CA17="",AND(CB16="",CB17&lt;&gt;""),AND(CB17="",CB16&lt;&gt;""),AND(CC16="",CC17&lt;&gt;""),AND(CC17="",CC16&lt;&gt;"")),"",CA16*1000+CB16*10+CC16)</f>
        <v/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5 - 6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3</v>
      </c>
      <c r="AL17" s="123">
        <f>AI17-AJ17</f>
        <v>4</v>
      </c>
      <c r="AM17" s="123">
        <f>AL17-AL18</f>
        <v>12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87500009.350031048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64"/>
      <c r="BZ17" s="26" t="str">
        <f>IF(BW20&gt;BW21,BS20,IF(BW20&lt;BW21,BS21,""))</f>
        <v>Morocco</v>
      </c>
      <c r="CA17" s="62"/>
      <c r="CB17" s="64"/>
      <c r="CC17" s="27"/>
      <c r="CD17" s="113" t="str">
        <f>IF(CD16="","",CA17*1000+CB17*10+CC17)</f>
        <v/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5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2 - 10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9</v>
      </c>
      <c r="AL18" s="123">
        <f>MIN(AL14:AL17)</f>
        <v>-8</v>
      </c>
      <c r="AM18" s="123">
        <f>MAX(AM14:AM17)+1</f>
        <v>14</v>
      </c>
      <c r="AN18" s="123">
        <f>MAX(AN14:AN17)+1</f>
        <v>8</v>
      </c>
      <c r="AO18" s="123">
        <f>MAX(AO14:AO17)+1</f>
        <v>9.75</v>
      </c>
      <c r="AP18" s="123">
        <f>MAX(AP14:AP17)+1</f>
        <v>87500010.350031048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63">
        <v>73</v>
      </c>
      <c r="BL18" s="24" t="str">
        <f>AS9</f>
        <v>South Africa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1</v>
      </c>
      <c r="V19" s="123">
        <f t="shared" si="3"/>
        <v>1</v>
      </c>
      <c r="W19" s="123">
        <f t="shared" si="4"/>
        <v>1</v>
      </c>
      <c r="X19" s="123">
        <f t="shared" si="9"/>
        <v>1</v>
      </c>
      <c r="Y19" s="123">
        <f t="shared" si="10"/>
        <v>1</v>
      </c>
      <c r="Z19" s="123">
        <f t="shared" si="11"/>
        <v>1</v>
      </c>
      <c r="AA19" s="123">
        <f t="shared" si="5"/>
        <v>0</v>
      </c>
      <c r="AB19" s="123">
        <f t="shared" si="6"/>
        <v>0</v>
      </c>
      <c r="BK19" s="164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0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Spain_draw</v>
      </c>
      <c r="T20" s="127" t="str">
        <f t="shared" si="2"/>
        <v>Cape Verde_draw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0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12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97305933.407620698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63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9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97305930.974925742</v>
      </c>
      <c r="AQ21" s="126">
        <f>VLOOKUP(AE21,db_fifarank,2,FALSE)</f>
        <v>1755.87</v>
      </c>
      <c r="AR21" s="125">
        <f>AP21/AP24</f>
        <v>0.99999996472265562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64"/>
      <c r="BS21" s="26" t="str">
        <f>IF(BP22&gt;BP23,BL22,IF(BP22&lt;BP23,BL23,""))</f>
        <v>Morocco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6 - 3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1</v>
      </c>
      <c r="W22" s="123">
        <f t="shared" si="4"/>
        <v>1</v>
      </c>
      <c r="X22" s="123">
        <f t="shared" si="9"/>
        <v>1</v>
      </c>
      <c r="Y22" s="123">
        <f t="shared" si="10"/>
        <v>1</v>
      </c>
      <c r="Z22" s="123">
        <f t="shared" si="11"/>
        <v>1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8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0.25064585499999997</v>
      </c>
      <c r="AQ22" s="126">
        <f>VLOOKUP(AE22,db_fifarank,2,FALSE)</f>
        <v>1291.71</v>
      </c>
      <c r="AR22" s="125">
        <f>AP22/AP24</f>
        <v>2.5758537393005105E-9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63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1 - 4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4</v>
      </c>
      <c r="AL23" s="123">
        <f>AI23-AJ23</f>
        <v>-3</v>
      </c>
      <c r="AM23" s="123">
        <f>AL23-AL24</f>
        <v>3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37500002.433441482</v>
      </c>
      <c r="AQ23" s="126">
        <f>VLOOKUP(AE23,db_fifarank,2,FALSE)</f>
        <v>1498.35</v>
      </c>
      <c r="AR23" s="125">
        <f>AP23/AP24</f>
        <v>0.38538248115835982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64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63">
        <v>101</v>
      </c>
      <c r="CG23" s="24" t="str">
        <f>IF(CD16&gt;CD17,BZ16,IF(CD16&lt;CD17,BZ17,""))</f>
        <v/>
      </c>
      <c r="CH23" s="61"/>
      <c r="CI23" s="63"/>
      <c r="CJ23" s="25"/>
      <c r="CK23" s="112" t="str">
        <f>IF(OR(CH23="",CH24="",AND(CI23="",CI24&lt;&gt;""),AND(CI24="",CI23&lt;&gt;""),AND(CJ23="",CJ24&lt;&gt;""),AND(CJ24="",CJ23&lt;&gt;"")),"",CH23*1000+CI23*10+CJ23)</f>
        <v/>
      </c>
    </row>
    <row r="24" spans="1:95" x14ac:dyDescent="0.2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-6</v>
      </c>
      <c r="AM24" s="123">
        <f>MAX(AM20:AM23)+1</f>
        <v>13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97305934.407620698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64"/>
      <c r="CG24" s="26" t="str">
        <f>IF(CD32&gt;CD33,BZ32,IF(CD32&lt;CD33,BZ33,""))</f>
        <v/>
      </c>
      <c r="CH24" s="62"/>
      <c r="CI24" s="64"/>
      <c r="CJ24" s="27"/>
      <c r="CK24" s="113" t="str">
        <f>IF(CK23="","",CH24*1000+CI24*10+CJ24)</f>
        <v/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3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8</v>
      </c>
      <c r="AJ26" s="123">
        <f>SUMIF($E$7:$E$78,$AE26,$G$7:$G$78) + SUMIF($H$7:$H$78,$AE26,$F$7:$F$78)</f>
        <v>4</v>
      </c>
      <c r="AL26" s="123">
        <f>AI26-AJ26</f>
        <v>4</v>
      </c>
      <c r="AM26" s="123">
        <f>AL26-AL30</f>
        <v>6</v>
      </c>
      <c r="AN26" s="123">
        <f>AF26*3+AG26</f>
        <v>6</v>
      </c>
      <c r="AO26" s="123">
        <f>AN26/AN30*10+BA26</f>
        <v>8.5714285714285712</v>
      </c>
      <c r="AP26" s="123">
        <f>AO26*10000000+BI26*100+AM26/AM30*10+AI26/AI30*1++IF(AQ26=0,ROW(),AQ26)/2000000</f>
        <v>85714295.175439745</v>
      </c>
      <c r="AQ26" s="126">
        <f>VLOOKUP(AE26,db_fifarank,2,FALSE)</f>
        <v>1673.13</v>
      </c>
      <c r="AR26" s="125">
        <f>AP26/AP30</f>
        <v>0.99999998833333481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63">
        <v>83</v>
      </c>
      <c r="BL26" s="24" t="str">
        <f>AS69</f>
        <v>Portugal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0</v>
      </c>
      <c r="N27" s="31">
        <f>VLOOKUP(1,AD26:AN29,5,FALSE)</f>
        <v>1</v>
      </c>
      <c r="O27" s="31" t="str">
        <f>VLOOKUP(1,AD26:AN29,6,FALSE) &amp; " - " &amp; VLOOKUP(1,AD26:AN29,7,FALSE)</f>
        <v>8 - 4</v>
      </c>
      <c r="P27" s="32">
        <f>L27*3+M27</f>
        <v>6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4</v>
      </c>
      <c r="AL27" s="123">
        <f>AI27-AJ27</f>
        <v>-2</v>
      </c>
      <c r="AM27" s="123">
        <f>AL27-AL30</f>
        <v>0</v>
      </c>
      <c r="AN27" s="123">
        <f>AF27*3+AG27</f>
        <v>4</v>
      </c>
      <c r="AO27" s="123">
        <f>AN27/AN30*10+BA27</f>
        <v>6.6946778711484587</v>
      </c>
      <c r="AP27" s="123">
        <f>AO27*10000000+BI27*100+AM27/AM30*10+AI27/AI30*1++IF(AQ27=0,ROW(),AQ27)/2000000</f>
        <v>66946876.973674245</v>
      </c>
      <c r="AQ27" s="126">
        <f>VLOOKUP(AE27,db_fifarank,2,FALSE)</f>
        <v>1503.5</v>
      </c>
      <c r="AR27" s="125">
        <f>AP27/AP30</f>
        <v>0.78104680270193894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</v>
      </c>
      <c r="BA27" s="126">
        <f>AZ27/AZ30</f>
        <v>0.98039215686274506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</v>
      </c>
      <c r="BI27" s="126">
        <f>BH27/BH30</f>
        <v>0.98039215686274506</v>
      </c>
      <c r="BK27" s="164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4</v>
      </c>
      <c r="G28" s="20">
        <v>2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2 - 2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2</v>
      </c>
      <c r="AL28" s="123">
        <f>AI28-AJ28</f>
        <v>0</v>
      </c>
      <c r="AM28" s="123">
        <f>AL28-AL30</f>
        <v>2</v>
      </c>
      <c r="AN28" s="123">
        <f>AF28*3+AG28</f>
        <v>4</v>
      </c>
      <c r="AO28" s="123">
        <f>AN28/AN30*10+BA28</f>
        <v>6.6946778711484587</v>
      </c>
      <c r="AP28" s="123">
        <f>AO28*10000000+BI28*100+AM28/AM30*10+AI28/AI30*1++IF(AQ28=0,ROW(),AQ28)/2000000</f>
        <v>66946879.83085569</v>
      </c>
      <c r="AQ28" s="126">
        <f>VLOOKUP(AE28,db_fifarank,2,FALSE)</f>
        <v>1580.67</v>
      </c>
      <c r="AR28" s="125">
        <f>AP28/AP30</f>
        <v>0.78104683603571834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</v>
      </c>
      <c r="BA28" s="126">
        <f>AZ28/AZ30</f>
        <v>0.98039215686274506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</v>
      </c>
      <c r="BI28" s="126">
        <f>BH28/BH30</f>
        <v>0.98039215686274506</v>
      </c>
      <c r="BK28" s="21"/>
      <c r="BL28" s="21"/>
      <c r="BM28" s="21"/>
      <c r="BN28" s="21"/>
      <c r="BO28" s="21"/>
      <c r="BP28" s="114"/>
      <c r="BQ28" s="112"/>
      <c r="BR28" s="163">
        <v>93</v>
      </c>
      <c r="BS28" s="24" t="str">
        <f>IF(BP26&gt;BP27,BL26,IF(BP26&lt;BP27,BL27,""))</f>
        <v>Portugal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1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2 - 4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Portugal_draw</v>
      </c>
      <c r="T29" s="127" t="str">
        <f t="shared" si="2"/>
        <v>DR Congo_draw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0</v>
      </c>
      <c r="AD29" s="123">
        <f>COUNTIF(AR26:AR29,CONCATENATE("&gt;=",AR29))</f>
        <v>4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0</v>
      </c>
      <c r="AH29" s="123">
        <f>COUNTIF($S$7:$T$78,"=" &amp; AE29 &amp; "_lose")</f>
        <v>2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5</v>
      </c>
      <c r="AL29" s="123">
        <f>AI29-AJ29</f>
        <v>-2</v>
      </c>
      <c r="AM29" s="123">
        <f>AL29-AL30</f>
        <v>0</v>
      </c>
      <c r="AN29" s="123">
        <f>AF29*3+AG29</f>
        <v>3</v>
      </c>
      <c r="AO29" s="123">
        <f>AN29/AN30*10+BA29</f>
        <v>4.2857142857142856</v>
      </c>
      <c r="AP29" s="123">
        <f>AO29*10000000+BI29*100+AM29/AM30*10+AI29/AI30*1++IF(AQ29=0,ROW(),AQ29)/2000000</f>
        <v>42857143.191275716</v>
      </c>
      <c r="AQ29" s="126">
        <f>VLOOKUP(AE29,db_fifarank,2,FALSE)</f>
        <v>1599.04</v>
      </c>
      <c r="AR29" s="125">
        <f>AP29/AP30</f>
        <v>0.49999994287482513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64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Turkey</v>
      </c>
      <c r="K30" s="36">
        <f>L30+M30+N30</f>
        <v>3</v>
      </c>
      <c r="L30" s="36">
        <f>VLOOKUP(4,AD26:AN29,3,FALSE)</f>
        <v>1</v>
      </c>
      <c r="M30" s="36">
        <f>VLOOKUP(4,AD26:AN29,4,FALSE)</f>
        <v>0</v>
      </c>
      <c r="N30" s="36">
        <f>VLOOKUP(4,AD26:AN29,5,FALSE)</f>
        <v>2</v>
      </c>
      <c r="O30" s="36" t="str">
        <f>VLOOKUP(4,AD26:AN29,6,FALSE) &amp; " - " &amp; VLOOKUP(4,AD26:AN29,7,FALSE)</f>
        <v>3 - 5</v>
      </c>
      <c r="P30" s="37">
        <f>L30*3+M30</f>
        <v>3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2</v>
      </c>
      <c r="AH30" s="123">
        <f t="shared" si="15"/>
        <v>2</v>
      </c>
      <c r="AI30" s="123">
        <f>MAX(AI26:AI29)+1</f>
        <v>9</v>
      </c>
      <c r="AL30" s="123">
        <f>MIN(AL26:AL29)</f>
        <v>-2</v>
      </c>
      <c r="AM30" s="123">
        <f>MAX(AM26:AM29)+1</f>
        <v>7</v>
      </c>
      <c r="AN30" s="123">
        <f>MAX(AN26:AN29)+1</f>
        <v>7</v>
      </c>
      <c r="AO30" s="123">
        <f>MAX(AO26:AO29)+1</f>
        <v>9.5714285714285712</v>
      </c>
      <c r="AP30" s="123">
        <f>MAX(AP26:AP29)+1</f>
        <v>85714296.175439745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51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63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>IF(OR(F31="",G31=""),"",IF(F31&gt;G31,E31&amp;"_win",IF(F31&lt;G31,E31&amp;"_lose",E31&amp;"_draw")))</f>
        <v>Czech Republic_draw</v>
      </c>
      <c r="T31" s="127" t="str">
        <f>IF(S31="","",IF(F31&lt;G31,H31&amp;"_win",IF(F31&gt;G31,H31&amp;"_lose",H31&amp;"_draw")))</f>
        <v>South Africa_draw</v>
      </c>
      <c r="U31" s="123">
        <f t="shared" si="8"/>
        <v>0</v>
      </c>
      <c r="V31" s="123">
        <f>U31*F31</f>
        <v>0</v>
      </c>
      <c r="W31" s="123">
        <f t="shared" si="4"/>
        <v>0</v>
      </c>
      <c r="X31" s="123">
        <f t="shared" si="9"/>
        <v>0</v>
      </c>
      <c r="Y31" s="123">
        <f>X31*F31</f>
        <v>0</v>
      </c>
      <c r="Z31" s="123">
        <f t="shared" si="11"/>
        <v>0</v>
      </c>
      <c r="AA31" s="123">
        <f t="shared" si="5"/>
        <v>0</v>
      </c>
      <c r="AB31" s="123">
        <f>IF(OR(F31="",G31=""),"",IF(F31&gt;G31,1,IF(F31&lt;G31,-1,0)))</f>
        <v>0</v>
      </c>
      <c r="BK31" s="164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4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>IF(OR(F32="",G32=""),"",IF(F32&gt;G32,E32&amp;"_win",IF(F32&lt;G32,E32&amp;"_lose",E32&amp;"_draw")))</f>
        <v>Switzerland_win</v>
      </c>
      <c r="T32" s="127" t="str">
        <f>IF(S32="","",IF(F32&lt;G32,H32&amp;"_win",IF(F32&gt;G32,H32&amp;"_lose",H32&amp;"_draw")))</f>
        <v>Bosnia and Herzegovina_lose</v>
      </c>
      <c r="U32" s="123">
        <f t="shared" si="8"/>
        <v>0</v>
      </c>
      <c r="V32" s="123">
        <f>U32*F32</f>
        <v>0</v>
      </c>
      <c r="W32" s="123">
        <f t="shared" si="4"/>
        <v>0</v>
      </c>
      <c r="X32" s="123">
        <f t="shared" si="9"/>
        <v>0</v>
      </c>
      <c r="Y32" s="123">
        <f>X32*F32</f>
        <v>0</v>
      </c>
      <c r="Z32" s="123">
        <f t="shared" si="11"/>
        <v>0</v>
      </c>
      <c r="AA32" s="123">
        <f t="shared" si="5"/>
        <v>0</v>
      </c>
      <c r="AB32" s="123">
        <f>IF(OR(F32="",G32=""),"",IF(F32&gt;G32,1,IF(F32&lt;G32,-1,0)))</f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4</v>
      </c>
      <c r="AL32" s="123">
        <f>AI32-AJ32</f>
        <v>6</v>
      </c>
      <c r="AM32" s="123">
        <f>AL32-AL36</f>
        <v>14</v>
      </c>
      <c r="AN32" s="123">
        <f>AF32*3+AG32</f>
        <v>6</v>
      </c>
      <c r="AO32" s="123">
        <f>AN32/AN36*10+BA32</f>
        <v>9.5694613583138164</v>
      </c>
      <c r="AP32" s="123">
        <f>AO32*10000000+BI32*100+AM32/AM36*10+AI32/AI36*1++IF(AQ32=0,ROW(),AQ32)/2000000</f>
        <v>95694623.826427594</v>
      </c>
      <c r="AQ32" s="126">
        <f>VLOOKUP(AE32,db_fifarank,2,FALSE)</f>
        <v>1730.37</v>
      </c>
      <c r="AR32" s="125">
        <f>AP32/AP36</f>
        <v>0.99999998955009228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1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1</v>
      </c>
      <c r="AY32" s="126">
        <f>AX32-MIN(AX32:AX35)</f>
        <v>2</v>
      </c>
      <c r="AZ32" s="126">
        <f>AT32/AT36*1000+AU32/AU36*100+AY32/AY36*10+AV32/AV36</f>
        <v>507.33333333333337</v>
      </c>
      <c r="BA32" s="126">
        <f>AZ32/AZ36</f>
        <v>0.99803278688524588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63">
        <v>98</v>
      </c>
      <c r="BZ32" s="24" t="str">
        <f>IF(BW28&gt;BW29,BS28,IF(BW28&lt;BW29,BS29,""))</f>
        <v>Spain</v>
      </c>
      <c r="CA32" s="61"/>
      <c r="CB32" s="63"/>
      <c r="CC32" s="25"/>
      <c r="CD32" s="116" t="str">
        <f>IF(OR(CA32="",CA33="",AND(CB32="",CB33&lt;&gt;""),AND(CB33="",CB32&lt;&gt;""),AND(CC32="",CC33&lt;&gt;""),AND(CC33="",CC32&lt;&gt;"")),"",CA32*1000+CB32*10+CC32)</f>
        <v/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6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0</v>
      </c>
      <c r="N33" s="31">
        <f>VLOOKUP(1,AD32:AN35,5,FALSE)</f>
        <v>1</v>
      </c>
      <c r="O33" s="31" t="str">
        <f>VLOOKUP(1,AD32:AN35,6,FALSE) &amp; " - " &amp; VLOOKUP(1,AD32:AN35,7,FALSE)</f>
        <v>10 - 4</v>
      </c>
      <c r="P33" s="32">
        <f>L33*3+M33</f>
        <v>6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9</v>
      </c>
      <c r="AL33" s="123">
        <f>AI33-AJ33</f>
        <v>-8</v>
      </c>
      <c r="AM33" s="123">
        <f>AL33-AL36</f>
        <v>0</v>
      </c>
      <c r="AN33" s="123">
        <f>AF33*3+AG33</f>
        <v>1</v>
      </c>
      <c r="AO33" s="123">
        <f>AN33/AN36*10+BA33</f>
        <v>1.4351288056206086</v>
      </c>
      <c r="AP33" s="123">
        <f>AO33*10000000+BI33*100+AM33/AM36*10+AI33/AI36*1++IF(AQ33=0,ROW(),AQ33)/2000000</f>
        <v>14351288.147762503</v>
      </c>
      <c r="AQ33" s="126">
        <f>VLOOKUP(AE33,db_fifarank,2,FALSE)</f>
        <v>1294.6500000000001</v>
      </c>
      <c r="AR33" s="125">
        <f>AP33/AP36</f>
        <v>0.14996963699678112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1</v>
      </c>
      <c r="AZ33" s="126">
        <f>AT33/AT36*1000+AU33/AU36*100+AY33/AY36*10+AV33/AV36</f>
        <v>3.333333333333333</v>
      </c>
      <c r="BA33" s="126">
        <f>AZ33/AZ36</f>
        <v>6.557377049180327E-3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64"/>
      <c r="BZ33" s="26" t="str">
        <f>IF(BW36&gt;BW37,BS36,IF(BW36&lt;BW37,BS37,""))</f>
        <v/>
      </c>
      <c r="CA33" s="62"/>
      <c r="CB33" s="64"/>
      <c r="CC33" s="27"/>
      <c r="CD33" s="112" t="str">
        <f>IF(CD32="","",CA33*1000+CB33*10+CC33)</f>
        <v/>
      </c>
      <c r="CE33" s="112"/>
      <c r="CK33" s="114"/>
      <c r="CL33" s="112"/>
      <c r="CM33" s="165" t="str" cm="1">
        <f t="array" ref="CM33">INDEX(T,8,lang)</f>
        <v>Final</v>
      </c>
      <c r="CN33" s="166"/>
      <c r="CO33" s="166"/>
      <c r="CP33" s="166"/>
      <c r="CQ33" s="167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4 - 2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2</v>
      </c>
      <c r="AL34" s="123">
        <f>AI34-AJ34</f>
        <v>2</v>
      </c>
      <c r="AM34" s="123">
        <f>AL34-AL36</f>
        <v>10</v>
      </c>
      <c r="AN34" s="123">
        <f>AF34*3+AG34</f>
        <v>6</v>
      </c>
      <c r="AO34" s="123">
        <f>AN34/AN36*10+BA34</f>
        <v>8.5720843091334888</v>
      </c>
      <c r="AP34" s="123">
        <f>AO34*10000000+BI34*100+AM34/AM36*10+AI34/AI36*1++IF(AQ34=0,ROW(),AQ34)/2000000</f>
        <v>85720850.122404411</v>
      </c>
      <c r="AQ34" s="126">
        <f>VLOOKUP(AE34,db_fifarank,2,FALSE)</f>
        <v>1532.98</v>
      </c>
      <c r="AR34" s="125">
        <f>AP34/AP36</f>
        <v>0.89577497459116673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-1</v>
      </c>
      <c r="AY34" s="126">
        <f>AX34-MIN(AX32:AX35)</f>
        <v>0</v>
      </c>
      <c r="AZ34" s="126">
        <f>AT34/AT36*1000+AU34/AU36*100+AY34/AY36*10+AV34/AV36</f>
        <v>0.33333333333333331</v>
      </c>
      <c r="BA34" s="126">
        <f>AZ34/AZ36</f>
        <v>6.5573770491803268E-4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63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68"/>
      <c r="CN34" s="169"/>
      <c r="CO34" s="169"/>
      <c r="CP34" s="169"/>
      <c r="CQ34" s="170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2 - 2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2</v>
      </c>
      <c r="AL35" s="123">
        <f>AI35-AJ35</f>
        <v>0</v>
      </c>
      <c r="AM35" s="123">
        <f>AL35-AL36</f>
        <v>8</v>
      </c>
      <c r="AN35" s="123">
        <f>AF35*3+AG35</f>
        <v>4</v>
      </c>
      <c r="AO35" s="123">
        <f>AN35/AN36*10+BA35</f>
        <v>5.7208430913348938</v>
      </c>
      <c r="AP35" s="123">
        <f>AO35*10000000+BI35*100+AM35/AM36*10+AI35/AI36*1++IF(AQ35=0,ROW(),AQ35)/2000000</f>
        <v>57208436.429297842</v>
      </c>
      <c r="AQ35" s="126">
        <f>VLOOKUP(AE35,db_fifarank,2,FALSE)</f>
        <v>1594.78</v>
      </c>
      <c r="AR35" s="125">
        <f>AP35/AP36</f>
        <v>0.59782288224718372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1</v>
      </c>
      <c r="AZ35" s="126">
        <f>AT35/AT36*1000+AU35/AU36*100+AY35/AY36*10+AV35/AV36</f>
        <v>3.333333333333333</v>
      </c>
      <c r="BA35" s="126">
        <f>AZ35/AZ36</f>
        <v>6.557377049180327E-3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64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1 - 9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2</v>
      </c>
      <c r="AI36" s="123">
        <f>MAX(AI32:AI35)+1</f>
        <v>11</v>
      </c>
      <c r="AL36" s="123">
        <f>MIN(AL32:AL35)</f>
        <v>-8</v>
      </c>
      <c r="AM36" s="123">
        <f>MAX(AM32:AM35)+1</f>
        <v>15</v>
      </c>
      <c r="AN36" s="123">
        <f>MAX(AN32:AN35)+1</f>
        <v>7</v>
      </c>
      <c r="AO36" s="123">
        <f>MAX(AO32:AO35)+1</f>
        <v>10.569461358313816</v>
      </c>
      <c r="AP36" s="123">
        <f>MAX(AP32:AP35)+1</f>
        <v>95694624.826427594</v>
      </c>
      <c r="AT36" s="126">
        <f>MAX(AT32:AT35)-MIN(AT32:AT35)+1</f>
        <v>2</v>
      </c>
      <c r="AU36" s="126">
        <f>MAX(AU32:AU35)-MIN(AU32:AU35)+1</f>
        <v>1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3</v>
      </c>
      <c r="AZ36" s="126">
        <f>MAX(AZ32:AZ35)+1</f>
        <v>508.33333333333337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63">
        <v>94</v>
      </c>
      <c r="BS36" s="24" t="str">
        <f>IF(BP34&gt;BP35,BL34,IF(BP34&lt;BP35,BL35,""))</f>
        <v>United States</v>
      </c>
      <c r="BT36" s="61"/>
      <c r="BU36" s="63"/>
      <c r="BV36" s="25"/>
      <c r="BW36" s="116" t="str">
        <f>IF(OR(BT36="",BT37="",AND(BU36="",BU37&lt;&gt;""),AND(BU37="",BU36&lt;&gt;""),AND(BV36="",BV37&lt;&gt;""),AND(BV37="",BV36&lt;&gt;"")),"",BT36*1000+BU36*10+BV36)</f>
        <v/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64"/>
      <c r="BS37" s="26" t="str">
        <f>IF(BP38&gt;BP39,BL38,IF(BP38&lt;BP39,BL39,""))</f>
        <v>Belgium</v>
      </c>
      <c r="BT37" s="62"/>
      <c r="BU37" s="64"/>
      <c r="BV37" s="27"/>
      <c r="BW37" s="112" t="str">
        <f>IF(BW36="","",BT37*1000+BU37*10+BV37)</f>
        <v/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63">
        <v>104</v>
      </c>
      <c r="CN37" s="24" t="str">
        <f>IF(CK23&gt;CK24,CG23,IF(CK23&lt;CK24,CG24,""))</f>
        <v/>
      </c>
      <c r="CO37" s="61"/>
      <c r="CP37" s="63"/>
      <c r="CQ37" s="25"/>
      <c r="CR37" s="111" t="str">
        <f>IF(OR(CO37="",CO38="",AND(CP37="",CP38&lt;&gt;""),AND(CP38="",CP37&lt;&gt;""),AND(CQ37="",CQ38&lt;&gt;""),AND(CQ38="",CQ37&lt;&gt;"")),"",CO37*1000+CP37*10+CQ37)</f>
        <v/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0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10</v>
      </c>
      <c r="AJ38" s="123">
        <f>SUMIF($E$7:$E$78,$AE38,$G$7:$G$78) + SUMIF($H$7:$H$78,$AE38,$F$7:$F$78)</f>
        <v>4</v>
      </c>
      <c r="AL38" s="123">
        <f>AI38-AJ38</f>
        <v>6</v>
      </c>
      <c r="AM38" s="123">
        <f>AL38-AL42</f>
        <v>16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87500010.321734548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63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64"/>
      <c r="CN38" s="26" t="str">
        <f>IF(CK55&gt;CK56,CG55,IF(CK55&lt;CK56,CG56,""))</f>
        <v/>
      </c>
      <c r="CO38" s="62"/>
      <c r="CP38" s="64"/>
      <c r="CQ38" s="27"/>
      <c r="CR38" s="111" t="str">
        <f>IF(CR37="","",CO38*1000+CP38*10+CQ38)</f>
        <v/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10 - 4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1</v>
      </c>
      <c r="V39" s="123">
        <f t="shared" si="3"/>
        <v>2</v>
      </c>
      <c r="W39" s="123">
        <f t="shared" si="4"/>
        <v>1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7</v>
      </c>
      <c r="AJ39" s="123">
        <f>SUMIF($E$7:$E$78,$AE39,$G$7:$G$78) + SUMIF($H$7:$H$78,$AE39,$F$7:$F$78)</f>
        <v>3</v>
      </c>
      <c r="AL39" s="123">
        <f>AI39-AJ39</f>
        <v>4</v>
      </c>
      <c r="AM39" s="123">
        <f>AL39-AL42</f>
        <v>14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62500008.87248797</v>
      </c>
      <c r="AQ39" s="126">
        <f>VLOOKUP(AE39,db_fifarank,2,FALSE)</f>
        <v>1660.43</v>
      </c>
      <c r="AR39" s="125">
        <f>AP39/AP42</f>
        <v>0.71428572326325279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64"/>
      <c r="BL39" s="26" t="str">
        <f>IF(group_round_completed,VLOOKUP('3rd places'!H3,AK80:AS91,9,FALSE),"3rd Group A/E/H/I/J")</f>
        <v>Senegal</v>
      </c>
      <c r="BM39" s="62">
        <v>2</v>
      </c>
      <c r="BN39" s="64"/>
      <c r="BO39" s="27"/>
      <c r="BP39" s="112">
        <f>IF(BP38="","",BM39*1000+BN39*10+BO39)</f>
        <v>2000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0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7 - 3</v>
      </c>
      <c r="P40" s="34">
        <f>L40*3+M40</f>
        <v>5</v>
      </c>
      <c r="R40" s="123">
        <f>DATE(2026,6,20)+TIME(13,0,0)+gmt_delta</f>
        <v>46194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7</v>
      </c>
      <c r="AJ40" s="123">
        <f>SUMIF($E$7:$E$78,$AE40,$G$7:$G$78) + SUMIF($H$7:$H$78,$AE40,$F$7:$F$78)</f>
        <v>7</v>
      </c>
      <c r="AL40" s="123">
        <f>AI40-AJ40</f>
        <v>0</v>
      </c>
      <c r="AM40" s="123">
        <f>AL40-AL42</f>
        <v>10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50000006.519473955</v>
      </c>
      <c r="AQ40" s="126">
        <f>VLOOKUP(AE40,db_fifarank,2,FALSE)</f>
        <v>1514.77</v>
      </c>
      <c r="AR40" s="125">
        <f>AP40/AP42</f>
        <v>0.57142857199898689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5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7 - 7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12</v>
      </c>
      <c r="AL41" s="123">
        <f>AI41-AJ41</f>
        <v>-10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0.18255970681818182</v>
      </c>
      <c r="AQ41" s="126">
        <f>VLOOKUP(AE41,db_fifarank,2,FALSE)</f>
        <v>1483.05</v>
      </c>
      <c r="AR41" s="125">
        <f>AP41/AP42</f>
        <v>2.0863963793892096E-9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4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2 - 12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11</v>
      </c>
      <c r="AL42" s="123">
        <f>MIN(AL38:AL41)</f>
        <v>-10</v>
      </c>
      <c r="AM42" s="123">
        <f>MAX(AM38:AM41)+1</f>
        <v>17</v>
      </c>
      <c r="AN42" s="123">
        <f>MAX(AN38:AN41)+1</f>
        <v>8</v>
      </c>
      <c r="AO42" s="123">
        <f>MAX(AO38:AO41)+1</f>
        <v>9.75</v>
      </c>
      <c r="AP42" s="123">
        <f>MAX(AP38:AP41)+1</f>
        <v>87500011.321734548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63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2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Uruguay_draw</v>
      </c>
      <c r="T43" s="127" t="str">
        <f t="shared" si="2"/>
        <v>Cape Verde_draw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0</v>
      </c>
      <c r="BK43" s="164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2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10</v>
      </c>
      <c r="AN44" s="123">
        <f>AF44*3+AG44</f>
        <v>5</v>
      </c>
      <c r="AO44" s="123">
        <f>AN44/AN48*10+BA44</f>
        <v>9.3139158576051777</v>
      </c>
      <c r="AP44" s="123">
        <f>AO44*10000000+BI44*100+AM44/AM48*10+AI44/AI48*1++IF(AQ44=0,ROW(),AQ44)/2000000</f>
        <v>93139266.583223492</v>
      </c>
      <c r="AQ44" s="126">
        <f>VLOOKUP(AE44,db_fifarank,2,FALSE)</f>
        <v>1734.71</v>
      </c>
      <c r="AR44" s="125">
        <f>AP44/AP48</f>
        <v>0.99999998926338995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50.5</v>
      </c>
      <c r="BA44" s="126">
        <f>AZ44/AZ48</f>
        <v>0.98058252427184467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50.5</v>
      </c>
      <c r="BI44" s="126">
        <f>BH44/BH48</f>
        <v>0.98058252427184467</v>
      </c>
      <c r="BK44" s="21"/>
      <c r="BL44" s="21"/>
      <c r="BM44" s="21"/>
      <c r="BN44" s="21"/>
      <c r="BO44" s="21"/>
      <c r="BP44" s="114"/>
      <c r="BQ44" s="112"/>
      <c r="BR44" s="163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65" t="str" cm="1">
        <f t="array" ref="CM44">INDEX(T,7,lang)</f>
        <v>Third-Place Play-Off</v>
      </c>
      <c r="CN44" s="166"/>
      <c r="CO44" s="166"/>
      <c r="CP44" s="166"/>
      <c r="CQ44" s="167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0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1</v>
      </c>
      <c r="M45" s="31">
        <f>VLOOKUP(1,AD44:AN47,4,FALSE)</f>
        <v>2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5</v>
      </c>
      <c r="R45" s="123">
        <f>DATE(2026,6,21)+TIME(8,0,0)+gmt_delta</f>
        <v>46194.791666666672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3</v>
      </c>
      <c r="AL45" s="123">
        <f>AI45-AJ45</f>
        <v>2</v>
      </c>
      <c r="AM45" s="123">
        <f>AL45-AL48</f>
        <v>8</v>
      </c>
      <c r="AN45" s="123">
        <f>AF45*3+AG45</f>
        <v>5</v>
      </c>
      <c r="AO45" s="123">
        <f>AN45/AN48*10+BA45</f>
        <v>9.3139158576051777</v>
      </c>
      <c r="AP45" s="123">
        <f>AO45*10000000+BI45*100+AM45/AM48*10+AI45/AI48*1++IF(AQ45=0,ROW(),AQ45)/2000000</f>
        <v>93139264.622098804</v>
      </c>
      <c r="AQ45" s="126">
        <f>VLOOKUP(AE45,db_fifarank,2,FALSE)</f>
        <v>1563.24</v>
      </c>
      <c r="AR45" s="125">
        <f>AP45/AP48</f>
        <v>0.99999996820755876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64"/>
      <c r="BS45" s="26" t="str">
        <f>IF(BP46&gt;BP47,BL46,IF(BP46&lt;BP47,BL47,""))</f>
        <v>Norway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68"/>
      <c r="CN45" s="169"/>
      <c r="CO45" s="169"/>
      <c r="CP45" s="169"/>
      <c r="CQ45" s="170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5 - 3</v>
      </c>
      <c r="P46" s="34">
        <f>L46*3+M46</f>
        <v>5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3</v>
      </c>
      <c r="AH46" s="123">
        <f>COUNTIF($S$7:$T$78,"=" &amp; AE46 &amp; "_lose")</f>
        <v>0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3</v>
      </c>
      <c r="AL46" s="123">
        <f>AI46-AJ46</f>
        <v>0</v>
      </c>
      <c r="AM46" s="123">
        <f>AL46-AL48</f>
        <v>6</v>
      </c>
      <c r="AN46" s="123">
        <f>AF46*3+AG46</f>
        <v>3</v>
      </c>
      <c r="AO46" s="123">
        <f>AN46/AN48*10+BA46</f>
        <v>5</v>
      </c>
      <c r="AP46" s="123">
        <f>AO46*10000000+BI46*100+AM46/AM48*10+AI46/AI48*1++IF(AQ46=0,ROW(),AQ46)/2000000</f>
        <v>50000005.883924529</v>
      </c>
      <c r="AQ46" s="126">
        <f>VLOOKUP(AE46,db_fifarank,2,FALSE)</f>
        <v>1615.3</v>
      </c>
      <c r="AR46" s="125">
        <f>AP46/AP48</f>
        <v>0.53683056761475623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63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3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3</v>
      </c>
      <c r="N47" s="23">
        <f>VLOOKUP(3,AD44:AN47,5,FALSE)</f>
        <v>0</v>
      </c>
      <c r="O47" s="23" t="str">
        <f>VLOOKUP(3,AD44:AN47,6,FALSE) &amp; " - " &amp; VLOOKUP(3,AD44:AN47,7,FALSE)</f>
        <v>3 - 3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4</v>
      </c>
      <c r="AJ47" s="123">
        <f>SUMIF($E$7:$E$78,$AE47,$G$7:$G$78) + SUMIF($H$7:$H$78,$AE47,$F$7:$F$78)</f>
        <v>10</v>
      </c>
      <c r="AL47" s="123">
        <f>AI47-AJ47</f>
        <v>-6</v>
      </c>
      <c r="AM47" s="123">
        <f>AL47-AL48</f>
        <v>0</v>
      </c>
      <c r="AN47" s="123">
        <f>AF47*3+AG47</f>
        <v>1</v>
      </c>
      <c r="AO47" s="123">
        <f>AN47/AN48*10+BA47</f>
        <v>1.6666666666666665</v>
      </c>
      <c r="AP47" s="123">
        <f>AO47*10000000+BI47*100+AM47/AM48*10+AI47/AI48*1++IF(AQ47=0,ROW(),AQ47)/2000000</f>
        <v>16666667.238736022</v>
      </c>
      <c r="AQ47" s="126">
        <f>VLOOKUP(AE47,db_fifarank,2,FALSE)</f>
        <v>1281.57</v>
      </c>
      <c r="AR47" s="125">
        <f>AP47/AP48</f>
        <v>0.17894350762253652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64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4 - 10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2</v>
      </c>
      <c r="AG48" s="123">
        <f t="shared" si="24"/>
        <v>3</v>
      </c>
      <c r="AH48" s="123">
        <f t="shared" si="24"/>
        <v>3</v>
      </c>
      <c r="AI48" s="123">
        <f>MAX(AI44:AI47)+1</f>
        <v>7</v>
      </c>
      <c r="AL48" s="123">
        <f>MIN(AL44:AL47)</f>
        <v>-6</v>
      </c>
      <c r="AM48" s="123">
        <f>MAX(AM44:AM47)+1</f>
        <v>11</v>
      </c>
      <c r="AN48" s="123">
        <f>MAX(AN44:AN47)+1</f>
        <v>6</v>
      </c>
      <c r="AO48" s="123">
        <f>MAX(AO44:AO47)+1</f>
        <v>10.313915857605178</v>
      </c>
      <c r="AP48" s="123">
        <f>MAX(AP44:AP47)+1</f>
        <v>93139267.583223492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63">
        <v>99</v>
      </c>
      <c r="BZ48" s="24" t="str">
        <f>IF(BW44&gt;BW45,BS44,IF(BW44&lt;BW45,BS45,""))</f>
        <v>Norway</v>
      </c>
      <c r="CA48" s="61"/>
      <c r="CB48" s="63"/>
      <c r="CC48" s="25"/>
      <c r="CD48" s="112" t="str">
        <f>IF(OR(CA48="",CA49="",AND(CB48="",CB49&lt;&gt;""),AND(CB49="",CB48&lt;&gt;""),AND(CC48="",CC49&lt;&gt;""),AND(CC49="",CC48&lt;&gt;"")),"",CA48*1000+CB48*10+CC48)</f>
        <v/>
      </c>
      <c r="CK48" s="114"/>
      <c r="CL48" s="112"/>
      <c r="CM48" s="163">
        <v>103</v>
      </c>
      <c r="CN48" s="24" t="str">
        <f>IF(CK23&gt;CK24,CG24,IF(CK23&lt;CK24,CG23,""))</f>
        <v/>
      </c>
      <c r="CO48" s="61"/>
      <c r="CP48" s="63"/>
      <c r="CQ48" s="25"/>
      <c r="CR48" s="111" t="str">
        <f>IF(OR(CO48="",CO49="",AND(CP48="",CP49&lt;&gt;""),AND(CP49="",CP48&lt;&gt;""),AND(CQ48="",CQ49&lt;&gt;""),AND(CQ49="",CQ48&lt;&gt;"")),"",CO48*1000+CP48*10+CQ48)</f>
        <v/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64"/>
      <c r="BZ49" s="26" t="str">
        <f>IF(BW52&gt;BW53,BS52,IF(BW52&lt;BW53,BS53,""))</f>
        <v>England</v>
      </c>
      <c r="CA49" s="62"/>
      <c r="CB49" s="64"/>
      <c r="CC49" s="27"/>
      <c r="CD49" s="113" t="str">
        <f>IF(CD48="","",CA49*1000+CB49*10+CC49)</f>
        <v/>
      </c>
      <c r="CK49" s="114"/>
      <c r="CL49" s="115"/>
      <c r="CM49" s="164"/>
      <c r="CN49" s="26" t="str">
        <f>IF(CK55&gt;CK56,CG56,IF(CK55&lt;CK56,CG55,""))</f>
        <v/>
      </c>
      <c r="CO49" s="62"/>
      <c r="CP49" s="64"/>
      <c r="CQ49" s="27"/>
      <c r="CR49" s="111" t="str">
        <f>IF(CR48="","",CO49*1000+CP49*10+CQ49)</f>
        <v/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5</v>
      </c>
      <c r="AJ50" s="123">
        <f>SUMIF($E$7:$E$78,$AE50,$G$7:$G$78) + SUMIF($H$7:$H$78,$AE50,$F$7:$F$78)</f>
        <v>0</v>
      </c>
      <c r="AL50" s="123">
        <f>AI50-AJ50</f>
        <v>5</v>
      </c>
      <c r="AM50" s="123">
        <f>AL50-AL54</f>
        <v>9</v>
      </c>
      <c r="AN50" s="123">
        <f>AF50*3+AG50</f>
        <v>7</v>
      </c>
      <c r="AO50" s="123">
        <f>AN50/AN54*10+BA50</f>
        <v>8.75</v>
      </c>
      <c r="AP50" s="123">
        <f>AO50*10000000+BI50*100+AM50/AM54*10+AI50/AI54*1++IF(AQ50=0,ROW(),AQ50)/2000000</f>
        <v>87500009.834271535</v>
      </c>
      <c r="AQ50" s="126">
        <f>VLOOKUP(AE50,db_fifarank,2,FALSE)</f>
        <v>1876.4</v>
      </c>
      <c r="AR50" s="125">
        <f>AP50/AP54</f>
        <v>0.99999998857143002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63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0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5 - 0</v>
      </c>
      <c r="P51" s="32">
        <f>L51*3+M51</f>
        <v>7</v>
      </c>
      <c r="R51" s="123">
        <f>DATE(2026,6,23)+TIME(9,0,0)+gmt_delta</f>
        <v>46196.833333333336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2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3</v>
      </c>
      <c r="AH51" s="123">
        <f>COUNTIF($S$7:$T$78,"=" &amp; AE51 &amp; "_lose")</f>
        <v>0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2</v>
      </c>
      <c r="AL51" s="123">
        <f>AI51-AJ51</f>
        <v>0</v>
      </c>
      <c r="AM51" s="123">
        <f>AL51-AL54</f>
        <v>4</v>
      </c>
      <c r="AN51" s="123">
        <f>AF51*3+AG51</f>
        <v>3</v>
      </c>
      <c r="AO51" s="123">
        <f>AN51/AN54*10+BA51</f>
        <v>3.75</v>
      </c>
      <c r="AP51" s="123">
        <f>AO51*10000000+BI51*100+AM51/AM54*10+AI51/AI54*1++IF(AQ51=0,ROW(),AQ51)/2000000</f>
        <v>37500004.334016398</v>
      </c>
      <c r="AQ51" s="126">
        <f>VLOOKUP(AE51,db_fifarank,2,FALSE)</f>
        <v>1366.13</v>
      </c>
      <c r="AR51" s="125">
        <f>AP51/AP54</f>
        <v>0.42857142503722523</v>
      </c>
      <c r="AS51" s="125" t="str">
        <f>IF(SUM(AF50:AH53)=12,J52,"2H")</f>
        <v>Cape Verde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64"/>
      <c r="BL51" s="26" t="str">
        <f>IF(group_round_completed,VLOOKUP('3rd places'!D3,AK80:AS91,9,FALSE),"3rd Group C/E/F/H/I")</f>
        <v>Ecuador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Cape Verde</v>
      </c>
      <c r="K52" s="23">
        <f>L52+M52+N52</f>
        <v>3</v>
      </c>
      <c r="L52" s="23">
        <f>VLOOKUP(2,AD50:AN53,3,FALSE)</f>
        <v>0</v>
      </c>
      <c r="M52" s="23">
        <f>VLOOKUP(2,AD50:AN53,4,FALSE)</f>
        <v>3</v>
      </c>
      <c r="N52" s="23">
        <f>VLOOKUP(2,AD50:AN53,5,FALSE)</f>
        <v>0</v>
      </c>
      <c r="O52" s="23" t="str">
        <f>VLOOKUP(2,AD50:AN53,6,FALSE) &amp; " - " &amp; VLOOKUP(2,AD50:AN53,7,FALSE)</f>
        <v>2 - 2</v>
      </c>
      <c r="P52" s="34">
        <f>L52*3+M52</f>
        <v>3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2</v>
      </c>
      <c r="AH52" s="123">
        <f>COUNTIF($S$7:$T$78,"=" &amp; AE52 &amp; "_lose")</f>
        <v>1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0</v>
      </c>
      <c r="AN52" s="123">
        <f>AF52*3+AG52</f>
        <v>2</v>
      </c>
      <c r="AO52" s="123">
        <f>AN52/AN54*10+BA52</f>
        <v>3.4805825242718447</v>
      </c>
      <c r="AP52" s="123">
        <f>AO52*10000000+BI52*100+AM52/AM54*10+AI52/AI54*1++IF(AQ52=0,ROW(),AQ52)/2000000</f>
        <v>34805923.46834825</v>
      </c>
      <c r="AQ52" s="126">
        <f>VLOOKUP(AE52,db_fifarank,2,FALSE)</f>
        <v>1421.43</v>
      </c>
      <c r="AR52" s="125">
        <f>AP52/AP54</f>
        <v>0.39778193324195171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63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5</v>
      </c>
      <c r="G53" s="20">
        <v>0</v>
      </c>
      <c r="H53" s="80" t="str">
        <f>AE70</f>
        <v>Uzbekistan</v>
      </c>
      <c r="J53" s="33" t="str">
        <f>VLOOKUP(3,AD50:AN53,2,FALSE)</f>
        <v>Uruguay</v>
      </c>
      <c r="K53" s="23">
        <f>L53+M53+N53</f>
        <v>3</v>
      </c>
      <c r="L53" s="23">
        <f>VLOOKUP(3,AD50:AN53,3,FALSE)</f>
        <v>0</v>
      </c>
      <c r="M53" s="23">
        <f>VLOOKUP(3,AD50:AN53,4,FALSE)</f>
        <v>2</v>
      </c>
      <c r="N53" s="23">
        <f>VLOOKUP(3,AD50:AN53,5,FALSE)</f>
        <v>1</v>
      </c>
      <c r="O53" s="23" t="str">
        <f>VLOOKUP(3,AD50:AN53,6,FALSE) &amp; " - " &amp; VLOOKUP(3,AD50:AN53,7,FALSE)</f>
        <v>3 - 4</v>
      </c>
      <c r="P53" s="34">
        <f>L53*3+M53</f>
        <v>2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3</v>
      </c>
      <c r="AE53" s="124" t="str">
        <f>VLOOKUP("Uruguay",T,lang,FALSE)</f>
        <v>Uruguay</v>
      </c>
      <c r="AF53" s="123">
        <f>COUNTIF($S$7:$T$78,"=" &amp; AE53 &amp; "_win")</f>
        <v>0</v>
      </c>
      <c r="AG53" s="123">
        <f>COUNTIF($S$7:$T$78,"=" &amp; AE53 &amp; "_draw")</f>
        <v>2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4</v>
      </c>
      <c r="AL53" s="123">
        <f>AI53-AJ53</f>
        <v>-1</v>
      </c>
      <c r="AM53" s="123">
        <f>AL53-AL54</f>
        <v>3</v>
      </c>
      <c r="AN53" s="123">
        <f>AF53*3+AG53</f>
        <v>2</v>
      </c>
      <c r="AO53" s="123">
        <f>AN53/AN54*10+BA53</f>
        <v>3.4805825242718447</v>
      </c>
      <c r="AP53" s="123">
        <f>AO53*10000000+BI53*100+AM53/AM54*10+AI53/AI54*1++IF(AQ53=0,ROW(),AQ53)/2000000</f>
        <v>34805926.801807404</v>
      </c>
      <c r="AQ53" s="126">
        <f>VLOOKUP(AE53,db_fifarank,2,FALSE)</f>
        <v>1673.07</v>
      </c>
      <c r="AR53" s="125">
        <f>AP53/AP54</f>
        <v>0.39778197133862303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64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2</v>
      </c>
      <c r="N54" s="36">
        <f>VLOOKUP(4,AD50:AN53,5,FALSE)</f>
        <v>1</v>
      </c>
      <c r="O54" s="36" t="str">
        <f>VLOOKUP(4,AD50:AN53,6,FALSE) &amp; " - " &amp; VLOOKUP(4,AD50:AN53,7,FALSE)</f>
        <v>1 - 5</v>
      </c>
      <c r="P54" s="37">
        <f>L54*3+M54</f>
        <v>2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3</v>
      </c>
      <c r="AH54" s="123">
        <f t="shared" si="25"/>
        <v>2</v>
      </c>
      <c r="AI54" s="123">
        <f>MAX(AI50:AI53)+1</f>
        <v>6</v>
      </c>
      <c r="AL54" s="123">
        <f>MIN(AL50:AL53)</f>
        <v>-4</v>
      </c>
      <c r="AM54" s="123">
        <f>MAX(AM50:AM53)+1</f>
        <v>10</v>
      </c>
      <c r="AN54" s="123">
        <f>MAX(AN50:AN53)+1</f>
        <v>8</v>
      </c>
      <c r="AO54" s="123">
        <f>MAX(AO50:AO53)+1</f>
        <v>9.75</v>
      </c>
      <c r="AP54" s="123">
        <f>MAX(AP50:AP53)+1</f>
        <v>87500010.834271535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63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64"/>
      <c r="BL55" s="26" t="str">
        <f>IF(group_round_completed,VLOOKUP('3rd places'!K3,AK80:AS91,9,FALSE),"3rd Group E/H/I/J/K")</f>
        <v>DR Congo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63">
        <v>102</v>
      </c>
      <c r="CG55" s="24" t="str">
        <f>IF(CD48&gt;CD49,BZ48,IF(CD48&lt;CD49,BZ49,""))</f>
        <v/>
      </c>
      <c r="CH55" s="61"/>
      <c r="CI55" s="63"/>
      <c r="CJ55" s="25"/>
      <c r="CK55" s="116" t="str">
        <f>IF(OR(CH55="",CH56="",AND(CI55="",CI56&lt;&gt;""),AND(CI56="",CI55&lt;&gt;""),AND(CJ55="",CJ56&lt;&gt;""),AND(CJ56="",CJ55&lt;&gt;"")),"",CH55*1000+CI55*10+CJ55)</f>
        <v/>
      </c>
      <c r="CL55" s="112"/>
    </row>
    <row r="56" spans="1:96" x14ac:dyDescent="0.2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4</v>
      </c>
      <c r="G56" s="20">
        <v>2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2</v>
      </c>
      <c r="AL56" s="123">
        <f>AI56-AJ56</f>
        <v>8</v>
      </c>
      <c r="AM56" s="123">
        <f>AL56-AL60</f>
        <v>19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90000010.41002956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64"/>
      <c r="CG56" s="26" t="str">
        <f>IF(CD64&gt;CD65,BZ64,IF(CD64&lt;CD65,BZ65,""))</f>
        <v/>
      </c>
      <c r="CH56" s="62"/>
      <c r="CI56" s="64"/>
      <c r="CJ56" s="27"/>
      <c r="CK56" s="112" t="str">
        <f>IF(CK55="","",CH56*1000+CI56*10+CJ56)</f>
        <v/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8</v>
      </c>
      <c r="AJ57" s="123">
        <f>SUMIF($E$7:$E$78,$AE57,$G$7:$G$78) + SUMIF($H$7:$H$78,$AE57,$F$7:$F$78)</f>
        <v>6</v>
      </c>
      <c r="AL57" s="123">
        <f>AI57-AJ57</f>
        <v>2</v>
      </c>
      <c r="AM57" s="123">
        <f>AL57-AL60</f>
        <v>13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30000007.22811722</v>
      </c>
      <c r="AQ57" s="126">
        <f>VLOOKUP(AE57,db_fifarank,2,FALSE)</f>
        <v>1688.99</v>
      </c>
      <c r="AR57" s="125">
        <f>AP57/AP60</f>
        <v>0.33333337138637331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3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8 - 7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12</v>
      </c>
      <c r="AL58" s="123">
        <f>AI58-AJ58</f>
        <v>-11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9.1632660909090918E-2</v>
      </c>
      <c r="AQ58" s="126">
        <f>VLOOKUP(AE58,db_fifarank,2,FALSE)</f>
        <v>1447.14</v>
      </c>
      <c r="AR58" s="125">
        <f>AP58/AP60</f>
        <v>1.0181405476897463E-9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63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8 - 6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8</v>
      </c>
      <c r="AJ59" s="123">
        <f>SUMIF($E$7:$E$78,$AE59,$G$7:$G$78) + SUMIF($H$7:$H$78,$AE59,$F$7:$F$78)</f>
        <v>7</v>
      </c>
      <c r="AL59" s="123">
        <f>AI59-AJ59</f>
        <v>1</v>
      </c>
      <c r="AM59" s="123">
        <f>AL59-AL60</f>
        <v>12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60000006.728048198</v>
      </c>
      <c r="AQ59" s="126">
        <f>VLOOKUP(AE59,db_fifarank,2,FALSE)</f>
        <v>1550.94</v>
      </c>
      <c r="AR59" s="125">
        <f>AP59/AP60</f>
        <v>0.66666665690402149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64"/>
      <c r="BL59" s="26" t="str">
        <f>AS51</f>
        <v>Cape Verde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1 - 12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11</v>
      </c>
      <c r="AL60" s="123">
        <f>MIN(AL56:AL59)</f>
        <v>-11</v>
      </c>
      <c r="AM60" s="123">
        <f>MAX(AM56:AM59)+1</f>
        <v>20</v>
      </c>
      <c r="AN60" s="123">
        <f>MAX(AN56:AN59)+1</f>
        <v>10</v>
      </c>
      <c r="AO60" s="123">
        <f>MAX(AO56:AO59)+1</f>
        <v>10</v>
      </c>
      <c r="AP60" s="123">
        <f>MAX(AP56:AP59)+1</f>
        <v>90000011.41002956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63">
        <v>95</v>
      </c>
      <c r="BS60" s="24" t="str">
        <f>IF(BP58&gt;BP59,BL58,IF(BP58&lt;BP59,BL59,""))</f>
        <v>Argentina</v>
      </c>
      <c r="BT60" s="61"/>
      <c r="BU60" s="63"/>
      <c r="BV60" s="25"/>
      <c r="BW60" s="112" t="str">
        <f>IF(OR(BT60="",BT61="",AND(BU60="",BU61&lt;&gt;""),AND(BU61="",BU60&lt;&gt;""),AND(BV60="",BV61&lt;&gt;""),AND(BV61="",BV60&lt;&gt;"")),"",BT60*1000+BU60*10+BV60)</f>
        <v/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64"/>
      <c r="BS61" s="26" t="str">
        <f>IF(BP62&gt;BP63,BL62,IF(BP62&lt;BP63,BL63,""))</f>
        <v>Egypt</v>
      </c>
      <c r="BT61" s="62"/>
      <c r="BU61" s="64"/>
      <c r="BV61" s="27"/>
      <c r="BW61" s="113" t="str">
        <f>IF(BW60="","",BT61*1000+BU61*10+BV61)</f>
        <v/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2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90000010.120595545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63">
        <v>88</v>
      </c>
      <c r="BL62" s="24" t="str">
        <f>AS27</f>
        <v>Australia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7</v>
      </c>
      <c r="AL63" s="123">
        <f>AI63-AJ63</f>
        <v>-2</v>
      </c>
      <c r="AM63" s="123">
        <f>AL63-AL66</f>
        <v>3</v>
      </c>
      <c r="AN63" s="123">
        <f>AF63*3+AG63</f>
        <v>4</v>
      </c>
      <c r="AO63" s="123">
        <f>AN63/AN66*10+BA63</f>
        <v>4.9806763285024154</v>
      </c>
      <c r="AP63" s="123">
        <f>AO63*10000000+BI63*100+AM63/AM66*10+AI63/AI66*1++IF(AQ63=0,ROW(),AQ63)/2000000</f>
        <v>49806864.216686986</v>
      </c>
      <c r="AQ63" s="126">
        <f>VLOOKUP(AE63,db_fifarank,2,FALSE)</f>
        <v>1564.26</v>
      </c>
      <c r="AR63" s="125">
        <f>AP63/AP66</f>
        <v>0.55340953402714876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3</v>
      </c>
      <c r="AW63" s="126" cm="1">
        <f t="array" ref="AW63">SUMPRODUCT(($E$7:$E$78=AE63)*($U$7:$U$78)*($G$7:$G$78))+SUMPRODUCT(($H$7:$H$78=AE63)*($U$7:$U$78)*($F$7:$F$78))</f>
        <v>3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50.75</v>
      </c>
      <c r="BA63" s="126">
        <f>AZ63/AZ66</f>
        <v>0.98067632850241548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3</v>
      </c>
      <c r="BE63" s="126" cm="1">
        <f t="array" ref="BE63">SUMPRODUCT(($E$7:$E$78=AE63)*($X$7:$X$78)*($G$7:$G$78))+SUMPRODUCT(($H$7:$H$78=AE63)*($X$7:$X$78)*($F$7:$F$78))</f>
        <v>3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50.75</v>
      </c>
      <c r="BI63" s="126">
        <f>BH63/BH66</f>
        <v>0.98067632850241548</v>
      </c>
      <c r="BK63" s="164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6 - 6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6</v>
      </c>
      <c r="AL64" s="123">
        <f>AI64-AJ64</f>
        <v>0</v>
      </c>
      <c r="AM64" s="123">
        <f>AL64-AL66</f>
        <v>5</v>
      </c>
      <c r="AN64" s="123">
        <f>AF64*3+AG64</f>
        <v>4</v>
      </c>
      <c r="AO64" s="123">
        <f>AN64/AN66*10+BA64</f>
        <v>4.9806763285024154</v>
      </c>
      <c r="AP64" s="123">
        <f>AO64*10000000+BI64*100+AM64/AM66*10+AI64/AI66*1++IF(AQ64=0,ROW(),AQ64)/2000000</f>
        <v>49806865.866274238</v>
      </c>
      <c r="AQ64" s="126">
        <f>VLOOKUP(AE64,db_fifarank,2,FALSE)</f>
        <v>1593.45</v>
      </c>
      <c r="AR64" s="125">
        <f>AP64/AP66</f>
        <v>0.55340955235589373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3</v>
      </c>
      <c r="AW64" s="126" cm="1">
        <f t="array" ref="AW64">SUMPRODUCT(($E$7:$E$78=AE64)*($U$7:$U$78)*($G$7:$G$78))+SUMPRODUCT(($H$7:$H$78=AE64)*($U$7:$U$78)*($F$7:$F$78))</f>
        <v>3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50.75</v>
      </c>
      <c r="BA64" s="126">
        <f>AZ64/AZ66</f>
        <v>0.98067632850241548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3</v>
      </c>
      <c r="BE64" s="126" cm="1">
        <f t="array" ref="BE64">SUMPRODUCT(($E$7:$E$78=AE64)*($X$7:$X$78)*($G$7:$G$78))+SUMPRODUCT(($H$7:$H$78=AE64)*($X$7:$X$78)*($F$7:$F$78))</f>
        <v>3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50.75</v>
      </c>
      <c r="BI64" s="126">
        <f>BH64/BH66</f>
        <v>0.98067632850241548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63">
        <v>100</v>
      </c>
      <c r="BZ64" s="24" t="str">
        <f>IF(BW60&gt;BW61,BS60,IF(BW60&lt;BW61,BS61,""))</f>
        <v/>
      </c>
      <c r="CA64" s="61"/>
      <c r="CB64" s="63"/>
      <c r="CC64" s="25"/>
      <c r="CD64" s="116" t="str">
        <f>IF(OR(CA64="",CA65="",AND(CB64="",CB65&lt;&gt;""),AND(CB65="",CB64&lt;&gt;""),AND(CC64="",CC65&lt;&gt;""),AND(CC65="",CC64&lt;&gt;"")),"",CA64*1000+CB64*10+CC64)</f>
        <v/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5 - 7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8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0.3340290583333333</v>
      </c>
      <c r="AQ65" s="126">
        <f>VLOOKUP(AE65,db_fifarank,2,FALSE)</f>
        <v>1391.45</v>
      </c>
      <c r="AR65" s="125">
        <f>AP65/AP66</f>
        <v>3.7114335228886911E-9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64"/>
      <c r="BZ65" s="26" t="str">
        <f>IF(BW68&gt;BW69,BS68,IF(BW68&lt;BW69,BS69,""))</f>
        <v/>
      </c>
      <c r="CA65" s="62"/>
      <c r="CB65" s="64"/>
      <c r="CC65" s="27"/>
      <c r="CD65" s="112" t="str">
        <f>IF(CD64="","",CA65*1000+CB65*10+CC65)</f>
        <v/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3 - 8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0</v>
      </c>
      <c r="W66" s="123">
        <f t="shared" si="22"/>
        <v>0</v>
      </c>
      <c r="X66" s="123">
        <f t="shared" si="9"/>
        <v>1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9</v>
      </c>
      <c r="AL66" s="123">
        <f>MIN(AL62:AL65)</f>
        <v>-5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90000011.120595545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4</v>
      </c>
      <c r="AW66" s="126">
        <f>MAX(AW62:AW65)-MIN(AW62:AW65)+1</f>
        <v>4</v>
      </c>
      <c r="AY66" s="126">
        <f>MAX(AY62:AY65)-MIN(AY62:AY65)+1</f>
        <v>1</v>
      </c>
      <c r="AZ66" s="126">
        <f>MAX(AZ62:AZ65)+1</f>
        <v>51.75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4</v>
      </c>
      <c r="BE66" s="126">
        <f>MAX(BE62:BE65)-MIN(BE62:BE65)+1</f>
        <v>4</v>
      </c>
      <c r="BG66" s="126">
        <f>MAX(BG62:BG65)-MIN(BG62:BG65)+1</f>
        <v>1</v>
      </c>
      <c r="BH66" s="126">
        <f>MAX(BH62:BH65)+1</f>
        <v>51.75</v>
      </c>
      <c r="BK66" s="163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64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5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1</v>
      </c>
      <c r="AG68" s="123">
        <f>COUNTIF($S$7:$T$78,"=" &amp; AE68 &amp; "_draw")</f>
        <v>2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1</v>
      </c>
      <c r="AL68" s="123">
        <f>AI68-AJ68</f>
        <v>5</v>
      </c>
      <c r="AM68" s="123">
        <f>AL68-AL72</f>
        <v>14</v>
      </c>
      <c r="AN68" s="123">
        <f>AF68*3+AG68</f>
        <v>5</v>
      </c>
      <c r="AO68" s="123">
        <f>AN68/AN72*10+BA68</f>
        <v>6.25</v>
      </c>
      <c r="AP68" s="123">
        <f>AO68*10000000+BI68*100+AM68/AM72*10+AI68/AI72*1++IF(AQ68=0,ROW(),AQ68)/2000000</f>
        <v>62500010.191358112</v>
      </c>
      <c r="AQ68" s="126">
        <f>VLOOKUP(AE68,db_fifarank,2,FALSE)</f>
        <v>1763.83</v>
      </c>
      <c r="AR68" s="125">
        <f>AP68/AP72</f>
        <v>0.71428575261735283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63">
        <v>96</v>
      </c>
      <c r="BS68" s="24" t="str">
        <f>IF(BP66&gt;BP67,BL66,IF(BP66&lt;BP67,BL67,""))</f>
        <v>Switzerland</v>
      </c>
      <c r="BT68" s="61"/>
      <c r="BU68" s="63"/>
      <c r="BV68" s="25"/>
      <c r="BW68" s="116" t="str">
        <f>IF(OR(BT68="",BT69="",AND(BU68="",BU69&lt;&gt;""),AND(BU69="",BU68&lt;&gt;""),AND(BV68="",BV69&lt;&gt;""),AND(BV69="",BV68&lt;&gt;"")),"",BT68*1000+BU68*10+BV68)</f>
        <v/>
      </c>
      <c r="CE68" s="195" t="str">
        <f>INDEX(T,144,lang)</f>
        <v>World Champion 2026</v>
      </c>
      <c r="CF68" s="195"/>
      <c r="CG68" s="195"/>
      <c r="CH68" s="195"/>
      <c r="CI68" s="195"/>
      <c r="CJ68" s="195"/>
      <c r="CK68" s="185" t="str">
        <f>IF(CR37&gt;CR38,CN37,IF(CR37&lt;CR38,CN38,""))</f>
        <v/>
      </c>
      <c r="CL68" s="185"/>
      <c r="CM68" s="185"/>
      <c r="CN68" s="185"/>
      <c r="CO68" s="185"/>
      <c r="CP68" s="185"/>
      <c r="CQ68" s="185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4 - 1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3</v>
      </c>
      <c r="AL69" s="123">
        <f>AI69-AJ69</f>
        <v>1</v>
      </c>
      <c r="AM69" s="123">
        <f>AL69-AL72</f>
        <v>10</v>
      </c>
      <c r="AN69" s="123">
        <f>AF69*3+AG69</f>
        <v>4</v>
      </c>
      <c r="AO69" s="123">
        <f>AN69/AN72*10+BA69</f>
        <v>5</v>
      </c>
      <c r="AP69" s="123">
        <f>AO69*10000000+BI69*100+AM69/AM72*10+AI69/AI72*1++IF(AQ69=0,ROW(),AQ69)/2000000</f>
        <v>50000007.238834411</v>
      </c>
      <c r="AQ69" s="126">
        <f>VLOOKUP(AE69,db_fifarank,2,FALSE)</f>
        <v>1478.35</v>
      </c>
      <c r="AR69" s="125">
        <f>AP69/AP72</f>
        <v>0.57142859164528825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64"/>
      <c r="BS69" s="26" t="str">
        <f>IF(BP70&gt;BP71,BL70,IF(BP70&lt;BP71,BL71,""))</f>
        <v>Colombia</v>
      </c>
      <c r="BT69" s="62"/>
      <c r="BU69" s="64"/>
      <c r="BV69" s="27"/>
      <c r="BW69" s="112" t="str">
        <f>IF(BW68="","",BT69*1000+BU69*10+BV69)</f>
        <v/>
      </c>
      <c r="CE69" s="195"/>
      <c r="CF69" s="195"/>
      <c r="CG69" s="195"/>
      <c r="CH69" s="195"/>
      <c r="CI69" s="195"/>
      <c r="CJ69" s="195"/>
      <c r="CK69" s="185"/>
      <c r="CL69" s="185"/>
      <c r="CM69" s="185"/>
      <c r="CN69" s="185"/>
      <c r="CO69" s="185"/>
      <c r="CP69" s="185"/>
      <c r="CQ69" s="185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5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1</v>
      </c>
      <c r="M70" s="23">
        <f>VLOOKUP(2,AD68:AN71,4,FALSE)</f>
        <v>2</v>
      </c>
      <c r="N70" s="23">
        <f>VLOOKUP(2,AD68:AN71,5,FALSE)</f>
        <v>0</v>
      </c>
      <c r="O70" s="23" t="str">
        <f>VLOOKUP(2,AD68:AN71,6,FALSE) &amp; " - " &amp; VLOOKUP(2,AD68:AN71,7,FALSE)</f>
        <v>6 - 1</v>
      </c>
      <c r="P70" s="34">
        <f>L70*3+M70</f>
        <v>5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11</v>
      </c>
      <c r="AL70" s="123">
        <f>AI70-AJ70</f>
        <v>-9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0.28644695571428569</v>
      </c>
      <c r="AQ70" s="126">
        <f>VLOOKUP(AE70,db_fifarank,2,FALSE)</f>
        <v>1465.34</v>
      </c>
      <c r="AR70" s="125">
        <f>AP70/AP72</f>
        <v>3.2736791357454669E-9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63">
        <v>87</v>
      </c>
      <c r="BL70" s="24" t="str">
        <f>AS68</f>
        <v>Colombia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4 - 3</v>
      </c>
      <c r="P71" s="34">
        <f>L71*3+M71</f>
        <v>4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1</v>
      </c>
      <c r="AL71" s="123">
        <f>AI71-AJ71</f>
        <v>3</v>
      </c>
      <c r="AM71" s="123">
        <f>AL71-AL72</f>
        <v>12</v>
      </c>
      <c r="AN71" s="123">
        <f>AF71*3+AG71</f>
        <v>7</v>
      </c>
      <c r="AO71" s="123">
        <f>AN71/AN72*10+BA71</f>
        <v>8.75</v>
      </c>
      <c r="AP71" s="123">
        <f>AO71*10000000+BI71*100+AM71/AM72*10+AI71/AI72*1++IF(AQ71=0,ROW(),AQ71)/2000000</f>
        <v>87500008.572275117</v>
      </c>
      <c r="AQ71" s="126">
        <f>VLOOKUP(AE71,db_fifarank,2,FALSE)</f>
        <v>1693.09</v>
      </c>
      <c r="AR71" s="125">
        <f>AP71/AP72</f>
        <v>0.9999999885714298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64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2 - 11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3</v>
      </c>
      <c r="AH72" s="123">
        <f t="shared" si="35"/>
        <v>4</v>
      </c>
      <c r="AI72" s="123">
        <f>MAX(AI68:AI71)+1</f>
        <v>7</v>
      </c>
      <c r="AL72" s="123">
        <f>MIN(AL68:AL71)</f>
        <v>-9</v>
      </c>
      <c r="AM72" s="123">
        <f>MAX(AM68:AM71)+1</f>
        <v>15</v>
      </c>
      <c r="AN72" s="123">
        <f>MAX(AN68:AN71)+1</f>
        <v>8</v>
      </c>
      <c r="AO72" s="123">
        <f>MAX(AO68:AO71)+1</f>
        <v>9.75</v>
      </c>
      <c r="AP72" s="123">
        <f>MAX(AP68:AP71)+1</f>
        <v>87500009.572275117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87500009.746944726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3</v>
      </c>
      <c r="G75" s="20">
        <v>3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3</v>
      </c>
      <c r="W75" s="123">
        <f t="shared" si="22"/>
        <v>3</v>
      </c>
      <c r="X75" s="123">
        <f t="shared" si="32"/>
        <v>1</v>
      </c>
      <c r="Y75" s="123">
        <f t="shared" si="33"/>
        <v>3</v>
      </c>
      <c r="Z75" s="123">
        <f t="shared" si="34"/>
        <v>3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5</v>
      </c>
      <c r="AL75" s="123">
        <f>AI75-AJ75</f>
        <v>0</v>
      </c>
      <c r="AM75" s="123">
        <f>AL75-AL78</f>
        <v>4</v>
      </c>
      <c r="AN75" s="123">
        <f>AF75*3+AG75</f>
        <v>6</v>
      </c>
      <c r="AO75" s="123">
        <f>AN75/AN78*10+BA75</f>
        <v>7.5</v>
      </c>
      <c r="AP75" s="123">
        <f>AO75*10000000+BI75*100+AM75/AM78*10+AI75/AI78*1++IF(AQ75=0,ROW(),AQ75)/2000000</f>
        <v>75000005.159588695</v>
      </c>
      <c r="AQ75" s="126">
        <f>VLOOKUP(AE75,db_fifarank,2,FALSE)</f>
        <v>1717.07</v>
      </c>
      <c r="AR75" s="125">
        <f>AP75/AP78</f>
        <v>0.85714281083339749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5 - 5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2</v>
      </c>
      <c r="AL76" s="123">
        <f>AI76-AJ76</f>
        <v>0</v>
      </c>
      <c r="AM76" s="123">
        <f>AL76-AL78</f>
        <v>4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50000004.730831884</v>
      </c>
      <c r="AQ76" s="126">
        <f>VLOOKUP(AE76,db_fifarank,2,FALSE)</f>
        <v>1346.31</v>
      </c>
      <c r="AR76" s="125">
        <f>AP76/AP78</f>
        <v>0.57142855531109471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0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2 - 2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4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8.8036560615725139E-12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3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0 - 4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9.75</v>
      </c>
      <c r="AP78" s="123">
        <f>MAX(AP74:AP77)+1</f>
        <v>87500010.746944726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3</v>
      </c>
      <c r="AP80" s="123">
        <f>AN80/AN92*10000+AM80/AM92*1000+AI80/AI92*100+IF(AQ80=0,ROW(),AQ80)/2000000</f>
        <v>6355.5563498855554</v>
      </c>
      <c r="AQ80" s="126">
        <f t="shared" ref="AQ80:AQ91" si="37">VLOOKUP($AE80,$AE$8:$AQ$78,13,FALSE)</f>
        <v>1588.66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Korea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Ⓚ DR Congo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5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5</v>
      </c>
      <c r="AJ81" s="123">
        <f t="shared" ref="AJ81:AJ90" si="42">VLOOKUP($AE81,$AE$8:$AQ$78,6,FALSE)</f>
        <v>6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2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8388.8895818088895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7 - 7</v>
      </c>
      <c r="P82" s="101">
        <f t="shared" ref="P82:P92" si="48">L82*3+M82</f>
        <v>4</v>
      </c>
      <c r="AD82" s="123">
        <f t="shared" si="38"/>
        <v>11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1</v>
      </c>
      <c r="AJ82" s="123">
        <f t="shared" si="42"/>
        <v>4</v>
      </c>
      <c r="AK82" s="123" t="s">
        <v>3182</v>
      </c>
      <c r="AL82" s="123">
        <f t="shared" si="43"/>
        <v>-3</v>
      </c>
      <c r="AM82" s="123">
        <f t="shared" si="44"/>
        <v>0</v>
      </c>
      <c r="AN82" s="123">
        <f t="shared" si="45"/>
        <v>3</v>
      </c>
      <c r="AP82" s="123">
        <f>AN82/AN92*10000+AM82/AM92*1000+AI82/AI92*100+IF(AQ82=0,ROW(),AQ82)/2000000</f>
        <v>6011.1118602861116</v>
      </c>
      <c r="AQ82" s="126">
        <f t="shared" si="37"/>
        <v>1498.35</v>
      </c>
      <c r="AR82" s="125" t="str">
        <f t="shared" ref="AR82:AR91" si="50">AR81&amp;IF(AD82&lt;=8,RIGHT(AK82,1),"")</f>
        <v>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2">
      <c r="A83" s="73"/>
      <c r="B83" s="73"/>
      <c r="C83" s="186" t="s">
        <v>3183</v>
      </c>
      <c r="D83" s="187"/>
      <c r="E83" s="187"/>
      <c r="F83" s="187"/>
      <c r="G83" s="188"/>
      <c r="H83" s="75"/>
      <c r="I83" s="69"/>
      <c r="J83" s="99" t="str">
        <f>VLOOKUP(3,$AD$80:$AT$91,17,FALSE)</f>
        <v>Ⓔ Ecuador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2 - 2</v>
      </c>
      <c r="P83" s="101">
        <f t="shared" si="48"/>
        <v>4</v>
      </c>
      <c r="AD83" s="123">
        <f t="shared" si="38"/>
        <v>7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2</v>
      </c>
      <c r="AJ83" s="123">
        <f t="shared" si="42"/>
        <v>4</v>
      </c>
      <c r="AK83" s="123" t="s">
        <v>3184</v>
      </c>
      <c r="AL83" s="123">
        <f t="shared" si="43"/>
        <v>-2</v>
      </c>
      <c r="AM83" s="123">
        <f t="shared" si="44"/>
        <v>1</v>
      </c>
      <c r="AN83" s="123">
        <f t="shared" si="45"/>
        <v>4</v>
      </c>
      <c r="AP83" s="123">
        <f>AN83/AN92*10000+AM83/AM92*1000+AI83/AI92*100+IF(AQ83=0,ROW(),AQ83)/2000000</f>
        <v>8188.8896406388894</v>
      </c>
      <c r="AQ83" s="126">
        <f t="shared" si="37"/>
        <v>1503.5</v>
      </c>
      <c r="AR83" s="125" t="str">
        <f t="shared" si="50"/>
        <v>BD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">
      <c r="A84" s="73"/>
      <c r="B84" s="73"/>
      <c r="C84" s="189"/>
      <c r="D84" s="190"/>
      <c r="E84" s="190"/>
      <c r="F84" s="190"/>
      <c r="G84" s="191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Paraguay</v>
      </c>
      <c r="T84" s="127" t="str" cm="1">
        <f t="array" ref="T84">IF(OR(S84="",S84="draw"),INDEX(T,86,lang),S84)</f>
        <v>Paraguay</v>
      </c>
      <c r="AD84" s="123">
        <f t="shared" si="38"/>
        <v>3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2</v>
      </c>
      <c r="AJ84" s="123">
        <f t="shared" si="42"/>
        <v>2</v>
      </c>
      <c r="AK84" s="123" t="s">
        <v>3185</v>
      </c>
      <c r="AL84" s="123">
        <f t="shared" si="43"/>
        <v>0</v>
      </c>
      <c r="AM84" s="123">
        <f t="shared" si="44"/>
        <v>3</v>
      </c>
      <c r="AN84" s="123">
        <f t="shared" si="45"/>
        <v>4</v>
      </c>
      <c r="AP84" s="123">
        <f>AN84/AN92*10000+AM84/AM92*1000+AI84/AI92*100+IF(AQ84=0,ROW(),AQ84)/2000000</f>
        <v>8522.2230196122218</v>
      </c>
      <c r="AQ84" s="126">
        <f t="shared" si="37"/>
        <v>1594.78</v>
      </c>
      <c r="AR84" s="125" t="str">
        <f t="shared" si="50"/>
        <v>BDE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">
      <c r="A85" s="73"/>
      <c r="B85" s="73"/>
      <c r="C85" s="189"/>
      <c r="D85" s="190"/>
      <c r="E85" s="190"/>
      <c r="F85" s="190"/>
      <c r="G85" s="191"/>
      <c r="H85" s="75"/>
      <c r="I85" s="69"/>
      <c r="J85" s="99" t="str">
        <f>VLOOKUP(5,$AD$80:$AT$91,17,FALSE)</f>
        <v>Ⓑ Bosnia and Herzegovina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5 - 6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7</v>
      </c>
      <c r="AJ85" s="123">
        <f t="shared" si="42"/>
        <v>7</v>
      </c>
      <c r="AK85" s="123" t="s">
        <v>3186</v>
      </c>
      <c r="AL85" s="123">
        <f t="shared" si="43"/>
        <v>0</v>
      </c>
      <c r="AM85" s="123">
        <f t="shared" si="44"/>
        <v>3</v>
      </c>
      <c r="AN85" s="123">
        <f t="shared" si="45"/>
        <v>4</v>
      </c>
      <c r="AP85" s="123">
        <f>AN85/AN92*10000+AM85/AM92*1000+AI85/AI92*100+IF(AQ85=0,ROW(),AQ85)/2000000</f>
        <v>8577.7785351627772</v>
      </c>
      <c r="AQ85" s="126">
        <f t="shared" si="37"/>
        <v>1514.77</v>
      </c>
      <c r="AR85" s="125" t="str">
        <f t="shared" si="50"/>
        <v>BDEF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89"/>
      <c r="D86" s="190"/>
      <c r="E86" s="190"/>
      <c r="F86" s="190"/>
      <c r="G86" s="191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5 - 7</v>
      </c>
      <c r="P86" s="101">
        <f t="shared" si="48"/>
        <v>4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Portugal</v>
      </c>
      <c r="T86" s="127" t="str" cm="1">
        <f t="array" ref="T86">IF(OR(S86="",S86="draw"),INDEX(T,88,lang),S86)</f>
        <v>Portugal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3</v>
      </c>
      <c r="AH86" s="123">
        <f t="shared" si="40"/>
        <v>0</v>
      </c>
      <c r="AI86" s="123">
        <f t="shared" si="41"/>
        <v>3</v>
      </c>
      <c r="AJ86" s="123">
        <f t="shared" si="42"/>
        <v>3</v>
      </c>
      <c r="AK86" s="123" t="s">
        <v>3187</v>
      </c>
      <c r="AL86" s="123">
        <f t="shared" si="43"/>
        <v>0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6533.3341409833329</v>
      </c>
      <c r="AQ86" s="126">
        <f t="shared" si="37"/>
        <v>1615.3</v>
      </c>
      <c r="AR86" s="125" t="str">
        <f t="shared" si="50"/>
        <v>BDEF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">
      <c r="A87" s="73"/>
      <c r="B87" s="73"/>
      <c r="C87" s="189"/>
      <c r="D87" s="190"/>
      <c r="E87" s="190"/>
      <c r="F87" s="190"/>
      <c r="G87" s="191"/>
      <c r="H87" s="75"/>
      <c r="I87" s="69"/>
      <c r="J87" s="99" t="str">
        <f>VLOOKUP(7,$AD$80:$AT$91,17,FALSE)</f>
        <v>Ⓓ Paraguay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1</v>
      </c>
      <c r="N87" s="100">
        <f>VLOOKUP(7,$AD$80:$AN$91,5,FALSE)</f>
        <v>1</v>
      </c>
      <c r="O87" s="100" t="str">
        <f>VLOOKUP(7,$AD$80:$AN$91,6,FALSE) &amp; " - " &amp; VLOOKUP(7,$AD$80:$AN$91,7,FALSE)</f>
        <v>2 - 4</v>
      </c>
      <c r="P87" s="101">
        <f t="shared" si="48"/>
        <v>4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Uruguay</v>
      </c>
      <c r="AF87" s="123">
        <f t="shared" si="39"/>
        <v>0</v>
      </c>
      <c r="AG87" s="123">
        <f t="shared" si="49"/>
        <v>2</v>
      </c>
      <c r="AH87" s="123">
        <f t="shared" si="40"/>
        <v>1</v>
      </c>
      <c r="AI87" s="123">
        <f t="shared" si="41"/>
        <v>3</v>
      </c>
      <c r="AJ87" s="123">
        <f t="shared" si="42"/>
        <v>4</v>
      </c>
      <c r="AK87" s="123" t="s">
        <v>3188</v>
      </c>
      <c r="AL87" s="123">
        <f t="shared" si="43"/>
        <v>-1</v>
      </c>
      <c r="AM87" s="123">
        <f t="shared" si="44"/>
        <v>2</v>
      </c>
      <c r="AN87" s="123">
        <f t="shared" si="45"/>
        <v>2</v>
      </c>
      <c r="AP87" s="123">
        <f>AN87/AN92*10000+AM87/AM92*1000+AI87/AI92*100+IF(AQ87=0,ROW(),AQ87)/2000000</f>
        <v>4366.6675032016665</v>
      </c>
      <c r="AQ87" s="126">
        <f t="shared" si="37"/>
        <v>1673.07</v>
      </c>
      <c r="AR87" s="125" t="str">
        <f t="shared" si="50"/>
        <v>BDEF</v>
      </c>
      <c r="AS87" s="129" t="str">
        <f t="shared" si="46"/>
        <v/>
      </c>
      <c r="AT87" s="130" t="str">
        <f>"Ⓗ "&amp;AE87</f>
        <v>Ⓗ Uruguay</v>
      </c>
    </row>
    <row r="88" spans="1:46" ht="15" customHeight="1" x14ac:dyDescent="0.2">
      <c r="A88" s="73"/>
      <c r="B88" s="73"/>
      <c r="C88" s="192"/>
      <c r="D88" s="193"/>
      <c r="E88" s="193"/>
      <c r="F88" s="193"/>
      <c r="G88" s="194"/>
      <c r="H88" s="75"/>
      <c r="I88" s="69"/>
      <c r="J88" s="99" t="str">
        <f>VLOOKUP(8,$AD$80:$AT$91,17,FALSE)</f>
        <v>Ⓘ Senegal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8 - 6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8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8</v>
      </c>
      <c r="AJ88" s="123">
        <f t="shared" si="42"/>
        <v>6</v>
      </c>
      <c r="AK88" s="123" t="s">
        <v>3189</v>
      </c>
      <c r="AL88" s="123">
        <f t="shared" si="43"/>
        <v>2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6922.2230667172216</v>
      </c>
      <c r="AQ88" s="126">
        <f t="shared" si="37"/>
        <v>1688.99</v>
      </c>
      <c r="AR88" s="125" t="str">
        <f t="shared" si="50"/>
        <v>BDEFI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3</v>
      </c>
      <c r="N89" s="103">
        <f>VLOOKUP(9,$AD$80:$AN$91,5,FALSE)</f>
        <v>0</v>
      </c>
      <c r="O89" s="103" t="str">
        <f>VLOOKUP(9,$AD$80:$AN$91,6,FALSE) &amp; " - " &amp; VLOOKUP(9,$AD$80:$AN$91,7,FALSE)</f>
        <v>3 - 3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5</v>
      </c>
      <c r="AJ89" s="123">
        <f t="shared" si="42"/>
        <v>7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4</v>
      </c>
      <c r="AP89" s="123">
        <f>AN89/AN92*10000+AM89/AM92*1000+AI89/AI92*100+IF(AQ89=0,ROW(),AQ89)/2000000</f>
        <v>8222.2230043522231</v>
      </c>
      <c r="AQ89" s="126">
        <f t="shared" si="37"/>
        <v>1564.26</v>
      </c>
      <c r="AR89" s="125" t="str">
        <f t="shared" si="50"/>
        <v>BDEFIJ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Korea Republic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2 - 3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</v>
      </c>
      <c r="AE90" s="124" t="str">
        <f>J71</f>
        <v>DR Congo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4</v>
      </c>
      <c r="AJ90" s="123">
        <f t="shared" si="42"/>
        <v>3</v>
      </c>
      <c r="AK90" s="123" t="s">
        <v>3191</v>
      </c>
      <c r="AL90" s="123">
        <f t="shared" si="43"/>
        <v>1</v>
      </c>
      <c r="AM90" s="123">
        <f t="shared" si="44"/>
        <v>4</v>
      </c>
      <c r="AN90" s="123">
        <f t="shared" si="45"/>
        <v>4</v>
      </c>
      <c r="AP90" s="123">
        <f>AN90/AN92*10000+AM90/AM92*1000+AI90/AI92*100+IF(AQ90=0,ROW(),AQ90)/2000000</f>
        <v>8711.1118502861118</v>
      </c>
      <c r="AQ90" s="126">
        <f t="shared" si="37"/>
        <v>1478.35</v>
      </c>
      <c r="AR90" s="125" t="str">
        <f t="shared" si="50"/>
        <v>BDEFIJK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Ⓒ Scotland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2</v>
      </c>
      <c r="AK91" s="123" t="s">
        <v>3192</v>
      </c>
      <c r="AL91" s="123">
        <f>VLOOKUP($AE91,$AE$8:$AQ$78,8,FALSE)</f>
        <v>0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8522.2228953772228</v>
      </c>
      <c r="AQ91" s="126">
        <f t="shared" si="37"/>
        <v>1346.31</v>
      </c>
      <c r="AR91" s="125" t="str">
        <f t="shared" si="50"/>
        <v>BDEFIJKL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Uruguay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3 - 4</v>
      </c>
      <c r="P92" s="107">
        <f t="shared" si="48"/>
        <v>2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9</v>
      </c>
      <c r="AJ92" s="123">
        <f>MAX(AJ80:AJ91)+1</f>
        <v>8</v>
      </c>
      <c r="AL92" s="123">
        <f>MIN(AL80:AL91)</f>
        <v>-3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/>
      </c>
      <c r="T98" s="127" cm="1">
        <f t="array" ref="T98">IF(OR(S98="",S98="draw"),INDEX(T,97,lang),S98)</f>
        <v>0</v>
      </c>
    </row>
    <row r="102" spans="18:29" x14ac:dyDescent="0.2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/>
      </c>
      <c r="T102" s="127" cm="1">
        <f t="array" ref="T102">IF(OR(S102="",S102="draw"),INDEX(T,98,lang),S102)</f>
        <v>0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/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cm="1">
        <f t="array" ref="AC102">IF(OR(U102="",U102="draw"),INDEX(T,100,lang),U102)</f>
        <v>0</v>
      </c>
    </row>
    <row r="103" spans="18:29" x14ac:dyDescent="0.2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/>
      </c>
      <c r="T103" s="127" cm="1">
        <f t="array" ref="T103">IF(OR(S103="",S103="draw"),INDEX(T,99,lang),S103)</f>
        <v>0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/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cm="1">
        <f t="array" ref="AC103">IF(OR(U103="",U103="draw"),INDEX(T,101,lang),U103)</f>
        <v>0</v>
      </c>
    </row>
    <row r="107" spans="18:29" x14ac:dyDescent="0.2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/>
      </c>
      <c r="T111" s="127" t="str">
        <f>S111</f>
        <v/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dataConsolidate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3A85-1728-F445-9CD8-86C92B611A31}">
  <dimension ref="A1:A48"/>
  <sheetViews>
    <sheetView workbookViewId="0">
      <selection activeCell="C14" sqref="C14"/>
    </sheetView>
  </sheetViews>
  <sheetFormatPr baseColWidth="10" defaultRowHeight="15" x14ac:dyDescent="0.2"/>
  <sheetData>
    <row r="1" spans="1:1" x14ac:dyDescent="0.2">
      <c r="A1" t="s">
        <v>2426</v>
      </c>
    </row>
    <row r="2" spans="1:1" x14ac:dyDescent="0.2">
      <c r="A2" t="s">
        <v>1264</v>
      </c>
    </row>
    <row r="3" spans="1:1" x14ac:dyDescent="0.2">
      <c r="A3" t="s">
        <v>1419</v>
      </c>
    </row>
    <row r="4" spans="1:1" x14ac:dyDescent="0.2">
      <c r="A4" t="s">
        <v>2458</v>
      </c>
    </row>
    <row r="5" spans="1:1" x14ac:dyDescent="0.2">
      <c r="A5" t="s">
        <v>1633</v>
      </c>
    </row>
    <row r="6" spans="1:1" x14ac:dyDescent="0.2">
      <c r="A6" t="s">
        <v>1995</v>
      </c>
    </row>
    <row r="7" spans="1:1" x14ac:dyDescent="0.2">
      <c r="A7" t="s">
        <v>1739</v>
      </c>
    </row>
    <row r="8" spans="1:1" x14ac:dyDescent="0.2">
      <c r="A8" t="s">
        <v>1662</v>
      </c>
    </row>
    <row r="9" spans="1:1" x14ac:dyDescent="0.2">
      <c r="A9" t="s">
        <v>2340</v>
      </c>
    </row>
    <row r="10" spans="1:1" x14ac:dyDescent="0.2">
      <c r="A10" t="s">
        <v>2573</v>
      </c>
    </row>
    <row r="11" spans="1:1" x14ac:dyDescent="0.2">
      <c r="A11" t="s">
        <v>1703</v>
      </c>
    </row>
    <row r="12" spans="1:1" x14ac:dyDescent="0.2">
      <c r="A12" t="s">
        <v>2183</v>
      </c>
    </row>
    <row r="13" spans="1:1" x14ac:dyDescent="0.2">
      <c r="A13" t="s">
        <v>2033</v>
      </c>
    </row>
    <row r="14" spans="1:1" x14ac:dyDescent="0.2">
      <c r="A14" t="s">
        <v>2524</v>
      </c>
    </row>
    <row r="15" spans="1:1" x14ac:dyDescent="0.2">
      <c r="A15" t="s">
        <v>1093</v>
      </c>
    </row>
    <row r="16" spans="1:1" x14ac:dyDescent="0.2">
      <c r="A16" t="s">
        <v>2274</v>
      </c>
    </row>
    <row r="17" spans="1:1" x14ac:dyDescent="0.2">
      <c r="A17" t="s">
        <v>1148</v>
      </c>
    </row>
    <row r="18" spans="1:1" x14ac:dyDescent="0.2">
      <c r="A18" t="s">
        <v>1384</v>
      </c>
    </row>
    <row r="19" spans="1:1" x14ac:dyDescent="0.2">
      <c r="A19" t="s">
        <v>1565</v>
      </c>
    </row>
    <row r="20" spans="1:1" x14ac:dyDescent="0.2">
      <c r="A20" t="s">
        <v>1883</v>
      </c>
    </row>
    <row r="21" spans="1:1" x14ac:dyDescent="0.2">
      <c r="A21" t="s">
        <v>2072</v>
      </c>
    </row>
    <row r="22" spans="1:1" x14ac:dyDescent="0.2">
      <c r="A22" t="s">
        <v>1180</v>
      </c>
    </row>
    <row r="23" spans="1:1" x14ac:dyDescent="0.2">
      <c r="A23" t="s">
        <v>2375</v>
      </c>
    </row>
    <row r="24" spans="1:1" x14ac:dyDescent="0.2">
      <c r="A24" t="s">
        <v>2201</v>
      </c>
    </row>
    <row r="25" spans="1:1" x14ac:dyDescent="0.2">
      <c r="A25" t="s">
        <v>1604</v>
      </c>
    </row>
    <row r="26" spans="1:1" x14ac:dyDescent="0.2">
      <c r="A26" t="s">
        <v>2493</v>
      </c>
    </row>
    <row r="27" spans="1:1" x14ac:dyDescent="0.2">
      <c r="A27" t="s">
        <v>1920</v>
      </c>
    </row>
    <row r="28" spans="1:1" x14ac:dyDescent="0.2">
      <c r="A28" t="s">
        <v>1323</v>
      </c>
    </row>
    <row r="29" spans="1:1" x14ac:dyDescent="0.2">
      <c r="A29" t="s">
        <v>1677</v>
      </c>
    </row>
    <row r="30" spans="1:1" x14ac:dyDescent="0.2">
      <c r="A30" t="s">
        <v>1113</v>
      </c>
    </row>
    <row r="31" spans="1:1" x14ac:dyDescent="0.2">
      <c r="A31" t="s">
        <v>2304</v>
      </c>
    </row>
    <row r="32" spans="1:1" x14ac:dyDescent="0.2">
      <c r="A32" t="s">
        <v>2395</v>
      </c>
    </row>
    <row r="33" spans="1:1" x14ac:dyDescent="0.2">
      <c r="A33" t="s">
        <v>2600</v>
      </c>
    </row>
    <row r="34" spans="1:1" x14ac:dyDescent="0.2">
      <c r="A34" t="s">
        <v>2126</v>
      </c>
    </row>
    <row r="35" spans="1:1" x14ac:dyDescent="0.2">
      <c r="A35" t="s">
        <v>1858</v>
      </c>
    </row>
    <row r="36" spans="1:1" x14ac:dyDescent="0.2">
      <c r="A36" t="s">
        <v>1077</v>
      </c>
    </row>
    <row r="37" spans="1:1" x14ac:dyDescent="0.2">
      <c r="A37" t="s">
        <v>1285</v>
      </c>
    </row>
    <row r="38" spans="1:1" x14ac:dyDescent="0.2">
      <c r="A38" t="s">
        <v>2090</v>
      </c>
    </row>
    <row r="39" spans="1:1" x14ac:dyDescent="0.2">
      <c r="A39" t="s">
        <v>1058</v>
      </c>
    </row>
    <row r="40" spans="1:1" x14ac:dyDescent="0.2">
      <c r="A40" t="s">
        <v>1958</v>
      </c>
    </row>
    <row r="41" spans="1:1" x14ac:dyDescent="0.2">
      <c r="A41" t="s">
        <v>1508</v>
      </c>
    </row>
    <row r="42" spans="1:1" x14ac:dyDescent="0.2">
      <c r="A42" t="s">
        <v>2240</v>
      </c>
    </row>
    <row r="43" spans="1:1" x14ac:dyDescent="0.2">
      <c r="A43" t="s">
        <v>1798</v>
      </c>
    </row>
    <row r="44" spans="1:1" x14ac:dyDescent="0.2">
      <c r="A44" t="s">
        <v>1479</v>
      </c>
    </row>
    <row r="45" spans="1:1" x14ac:dyDescent="0.2">
      <c r="A45" t="s">
        <v>2146</v>
      </c>
    </row>
    <row r="46" spans="1:1" x14ac:dyDescent="0.2">
      <c r="A46" t="s">
        <v>1198</v>
      </c>
    </row>
    <row r="47" spans="1:1" x14ac:dyDescent="0.2">
      <c r="A47" t="s">
        <v>1900</v>
      </c>
    </row>
    <row r="48" spans="1:1" x14ac:dyDescent="0.2">
      <c r="A48" t="s">
        <v>2549</v>
      </c>
    </row>
  </sheetData>
  <sheetProtection sheet="1" objects="1" scenarios="1" selectLockedCells="1"/>
  <sortState xmlns:xlrd2="http://schemas.microsoft.com/office/spreadsheetml/2017/richdata2" ref="A1:A48">
    <sortCondition ref="A1:A4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C14" sqref="C14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67</v>
      </c>
      <c r="C3" s="121" t="str">
        <f>'2026 World Cup'!AR91</f>
        <v>BDEFIJKL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3I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T</vt:lpstr>
      <vt:lpstr>Survivor</vt:lpstr>
      <vt:lpstr>Rounds</vt:lpstr>
      <vt:lpstr>2026 World Cup</vt:lpstr>
      <vt:lpstr>AllTeams</vt:lpstr>
      <vt:lpstr>3rd places</vt:lpstr>
      <vt:lpstr>Settings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Rylan Paul</cp:lastModifiedBy>
  <cp:revision/>
  <dcterms:created xsi:type="dcterms:W3CDTF">2017-12-27T19:32:51Z</dcterms:created>
  <dcterms:modified xsi:type="dcterms:W3CDTF">2026-07-06T22:25:45Z</dcterms:modified>
  <cp:category>Sports</cp:category>
  <cp:contentStatus/>
</cp:coreProperties>
</file>