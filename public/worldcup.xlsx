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D8AEC348-EFE2-354E-BBED-C00DCFA821B3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6" l="1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M8" i="5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M5" i="5" l="1"/>
  <c r="K6" i="5"/>
  <c r="L6" i="5"/>
  <c r="M4" i="5"/>
  <c r="L5" i="5"/>
  <c r="M6" i="5"/>
  <c r="K7" i="5"/>
  <c r="L7" i="5"/>
  <c r="K3" i="5"/>
  <c r="L3" i="5"/>
  <c r="M3" i="5"/>
  <c r="M7" i="5"/>
  <c r="L4" i="5"/>
  <c r="K5" i="5"/>
  <c r="K4" i="5"/>
  <c r="K8" i="5"/>
  <c r="L8" i="5"/>
  <c r="G3" i="5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S50" i="3"/>
  <c r="S76" i="3"/>
  <c r="S47" i="3"/>
  <c r="S67" i="3"/>
  <c r="S72" i="3"/>
  <c r="S70" i="3"/>
  <c r="S42" i="3"/>
  <c r="S64" i="3"/>
  <c r="S40" i="3"/>
  <c r="S62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34" i="3"/>
  <c r="AR10" i="3" l="1"/>
  <c r="AR71" i="3"/>
  <c r="AR33" i="3"/>
  <c r="AR9" i="3"/>
  <c r="AR35" i="3"/>
  <c r="AD35" i="3" s="1"/>
  <c r="AR11" i="3"/>
  <c r="AD9" i="3" s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4" i="3" l="1"/>
  <c r="AD32" i="3"/>
  <c r="AD10" i="3"/>
  <c r="AD11" i="3"/>
  <c r="AD8" i="3"/>
  <c r="O9" i="3" s="1"/>
  <c r="AD27" i="3"/>
  <c r="AD26" i="3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M10" i="3" l="1"/>
  <c r="J12" i="3"/>
  <c r="L11" i="3"/>
  <c r="J10" i="3"/>
  <c r="AS9" i="3" s="1"/>
  <c r="BL18" i="3" s="1"/>
  <c r="M4" i="6" s="1"/>
  <c r="M12" i="3"/>
  <c r="N12" i="3"/>
  <c r="J9" i="3"/>
  <c r="AS8" i="3" s="1"/>
  <c r="BL50" i="3" s="1"/>
  <c r="M12" i="6" s="1"/>
  <c r="M11" i="3"/>
  <c r="L12" i="3"/>
  <c r="P12" i="3" s="1"/>
  <c r="N11" i="3"/>
  <c r="M9" i="3"/>
  <c r="K9" i="3" s="1"/>
  <c r="N10" i="3"/>
  <c r="K10" i="3" s="1"/>
  <c r="L9" i="3"/>
  <c r="L10" i="3"/>
  <c r="N9" i="3"/>
  <c r="O11" i="3"/>
  <c r="O10" i="3"/>
  <c r="O12" i="3"/>
  <c r="J11" i="3"/>
  <c r="AE80" i="3" s="1"/>
  <c r="AQ80" i="3" s="1"/>
  <c r="L28" i="3"/>
  <c r="O29" i="3"/>
  <c r="N29" i="3"/>
  <c r="N27" i="3"/>
  <c r="L30" i="3"/>
  <c r="O30" i="3"/>
  <c r="J27" i="3"/>
  <c r="AS26" i="3" s="1"/>
  <c r="BL34" i="3" s="1"/>
  <c r="M8" i="6" s="1"/>
  <c r="L29" i="3"/>
  <c r="N30" i="3"/>
  <c r="M27" i="3"/>
  <c r="N28" i="3"/>
  <c r="M29" i="3"/>
  <c r="O27" i="3"/>
  <c r="M28" i="3"/>
  <c r="J28" i="3"/>
  <c r="AS27" i="3" s="1"/>
  <c r="BL62" i="3" s="1"/>
  <c r="M15" i="6" s="1"/>
  <c r="M30" i="3"/>
  <c r="J29" i="3"/>
  <c r="AE83" i="3" s="1"/>
  <c r="AQ83" i="3" s="1"/>
  <c r="L27" i="3"/>
  <c r="O28" i="3"/>
  <c r="J30" i="3"/>
  <c r="N69" i="3"/>
  <c r="P59" i="3"/>
  <c r="S88" i="3"/>
  <c r="T88" i="3" s="1" a="1"/>
  <c r="T88" i="3" s="1"/>
  <c r="BS20" i="3"/>
  <c r="S90" i="3"/>
  <c r="T90" i="3" s="1" a="1"/>
  <c r="T90" i="3" s="1"/>
  <c r="BS36" i="3"/>
  <c r="K58" i="3"/>
  <c r="BS61" i="3"/>
  <c r="T8" i="6" s="1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P10" i="3"/>
  <c r="AT80" i="3"/>
  <c r="P30" i="3" l="1"/>
  <c r="K12" i="3"/>
  <c r="P28" i="3"/>
  <c r="K11" i="3"/>
  <c r="AL80" i="3"/>
  <c r="AI80" i="3"/>
  <c r="AG80" i="3"/>
  <c r="AH80" i="3"/>
  <c r="AF80" i="3"/>
  <c r="K28" i="3"/>
  <c r="P9" i="3"/>
  <c r="P11" i="3"/>
  <c r="AI83" i="3"/>
  <c r="K27" i="3"/>
  <c r="AJ83" i="3"/>
  <c r="AH83" i="3"/>
  <c r="AN80" i="3"/>
  <c r="AG83" i="3"/>
  <c r="AF83" i="3"/>
  <c r="AJ80" i="3"/>
  <c r="K30" i="3"/>
  <c r="AL83" i="3"/>
  <c r="AT83" i="3"/>
  <c r="AN83" i="3"/>
  <c r="P29" i="3"/>
  <c r="P27" i="3"/>
  <c r="K29" i="3"/>
  <c r="Q5" i="6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K83" i="3" l="1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BL51" i="3" s="1"/>
  <c r="P12" i="6" s="1"/>
  <c r="K3" i="4"/>
  <c r="BL55" i="3" s="1"/>
  <c r="P13" i="6" s="1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S52" i="3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<sst xmlns="http://schemas.openxmlformats.org/spreadsheetml/2006/main" count="9897" uniqueCount="3715">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</sst>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N25" sqref="N25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>
        <f>IFERROR(_xlfn.XLOOKUP(J3,Rounds!I$2:I$25,Rounds!J$2:J$25), _xlfn.XLOOKUP(J3,Rounds!L$2:L$25,Rounds!K$2:K$25))</f>
        <v>2</v>
      </c>
      <c r="L3" s="142">
        <f>IFERROR(_xlfn.XLOOKUP(J3,Rounds!I$2:I$25,Rounds!K$2:K$25), _xlfn.XLOOKUP(J3,Rounds!L$2:L$25,Rounds!J$2:J$25))</f>
        <v>0</v>
      </c>
      <c r="M3" s="140" t="str">
        <f>IFERROR(_xlfn.XLOOKUP(J3,Rounds!I$2:I$25,Rounds!L$2:L$25), _xlfn.XLOOKUP(J3,Rounds!L$2:L$25,Rounds!I$2:I$25))</f>
        <v>Curaçao</v>
      </c>
      <c r="N3" t="s">
        <v>1739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str">
        <f>IFERROR(_xlfn.XLOOKUP(N3,Rounds!M$2:M$17,Rounds!P$2:P$17), _xlfn.XLOOKUP(N3,Rounds!P$2:P$17,Rounds!M$2:M$17))</f>
        <v>Japan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>
        <f>IFERROR(_xlfn.XLOOKUP(J4,Rounds!I$2:I$25,Rounds!J$2:J$25), _xlfn.XLOOKUP(J4,Rounds!L$2:L$25,Rounds!K$2:K$25))</f>
        <v>4</v>
      </c>
      <c r="L4" s="146">
        <f>IFERROR(_xlfn.XLOOKUP(J4,Rounds!I$2:I$25,Rounds!K$2:K$25), _xlfn.XLOOKUP(J4,Rounds!L$2:L$25,Rounds!J$2:J$25))</f>
        <v>2</v>
      </c>
      <c r="M4" s="147" t="str">
        <f>IFERROR(_xlfn.XLOOKUP(J4,Rounds!I$2:I$25,Rounds!L$2:L$25), _xlfn.XLOOKUP(J4,Rounds!L$2:L$25,Rounds!I$2:I$25))</f>
        <v>Haiti</v>
      </c>
      <c r="N4" s="148" t="s">
        <v>1148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str">
        <f>IFERROR(_xlfn.XLOOKUP(N4,Rounds!M$2:M$17,Rounds!P$2:P$17), _xlfn.XLOOKUP(N4,Rounds!P$2:P$17,Rounds!M$2:M$17))</f>
        <v>DR Congo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>
        <f>IFERROR(_xlfn.XLOOKUP(J5,Rounds!I$2:I$25,Rounds!J$2:J$25), _xlfn.XLOOKUP(J5,Rounds!L$2:L$25,Rounds!K$2:K$25))</f>
        <v>3</v>
      </c>
      <c r="L5" s="82">
        <f>IFERROR(_xlfn.XLOOKUP(J5,Rounds!I$2:I$25,Rounds!K$2:K$25), _xlfn.XLOOKUP(J5,Rounds!L$2:L$25,Rounds!J$2:J$25))</f>
        <v>0</v>
      </c>
      <c r="M5" s="134" t="str">
        <f>IFERROR(_xlfn.XLOOKUP(J5,Rounds!I$2:I$25,Rounds!L$2:L$25), _xlfn.XLOOKUP(J5,Rounds!L$2:L$25,Rounds!I$2:I$25))</f>
        <v>Czech Republic</v>
      </c>
      <c r="N5" t="s">
        <v>1633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str">
        <f>IFERROR(_xlfn.XLOOKUP(N5,Rounds!M$2:M$17,Rounds!P$2:P$17), _xlfn.XLOOKUP(N5,Rounds!P$2:P$17,Rounds!M$2:M$17))</f>
        <v>Senegal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>
        <f>IFERROR(_xlfn.XLOOKUP(J6,Rounds!I$2:I$25,Rounds!J$2:J$25), _xlfn.XLOOKUP(J6,Rounds!L$2:L$25,Rounds!K$2:K$25))</f>
        <v>2</v>
      </c>
      <c r="L6" s="146">
        <f>IFERROR(_xlfn.XLOOKUP(J6,Rounds!I$2:I$25,Rounds!K$2:K$25), _xlfn.XLOOKUP(J6,Rounds!L$2:L$25,Rounds!J$2:J$25))</f>
        <v>0</v>
      </c>
      <c r="M6" s="147" t="str">
        <f>IFERROR(_xlfn.XLOOKUP(J6,Rounds!I$2:I$25,Rounds!L$2:L$25), _xlfn.XLOOKUP(J6,Rounds!L$2:L$25,Rounds!I$2:I$25))</f>
        <v>Curaçao</v>
      </c>
      <c r="N6" s="148" t="s">
        <v>1565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str">
        <f>IFERROR(_xlfn.XLOOKUP(N6,Rounds!M$2:M$17,Rounds!P$2:P$17), _xlfn.XLOOKUP(N6,Rounds!P$2:P$17,Rounds!M$2:M$17))</f>
        <v>Paraguay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>
        <f>IFERROR(_xlfn.XLOOKUP(J7,Rounds!I$2:I$25,Rounds!J$2:J$25), _xlfn.XLOOKUP(J7,Rounds!L$2:L$25,Rounds!K$2:K$25))</f>
        <v>3</v>
      </c>
      <c r="L7" s="82">
        <f>IFERROR(_xlfn.XLOOKUP(J7,Rounds!I$2:I$25,Rounds!K$2:K$25), _xlfn.XLOOKUP(J7,Rounds!L$2:L$25,Rounds!J$2:J$25))</f>
        <v>1</v>
      </c>
      <c r="M7" s="134" t="str">
        <f>IFERROR(_xlfn.XLOOKUP(J7,Rounds!I$2:I$25,Rounds!L$2:L$25), _xlfn.XLOOKUP(J7,Rounds!L$2:L$25,Rounds!I$2:I$25))</f>
        <v>Qatar</v>
      </c>
      <c r="N7" t="s">
        <v>1633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str">
        <f>IFERROR(_xlfn.XLOOKUP(N7,Rounds!M$2:M$17,Rounds!P$2:P$17), _xlfn.XLOOKUP(N7,Rounds!P$2:P$17,Rounds!M$2:M$17))</f>
        <v>Senegal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>
        <f>IFERROR(_xlfn.XLOOKUP(J8,Rounds!I$2:I$25,Rounds!J$2:J$25), _xlfn.XLOOKUP(J8,Rounds!L$2:L$25,Rounds!K$2:K$25))</f>
        <v>4</v>
      </c>
      <c r="L8" s="150">
        <f>IFERROR(_xlfn.XLOOKUP(J8,Rounds!I$2:I$25,Rounds!K$2:K$25), _xlfn.XLOOKUP(J8,Rounds!L$2:L$25,Rounds!J$2:J$25))</f>
        <v>2</v>
      </c>
      <c r="M8" s="151" t="str">
        <f>IFERROR(_xlfn.XLOOKUP(J8,Rounds!I$2:I$25,Rounds!L$2:L$25), _xlfn.XLOOKUP(J8,Rounds!L$2:L$25,Rounds!I$2:I$25))</f>
        <v>Haiti</v>
      </c>
      <c r="N8" s="152" t="s">
        <v>1662</v>
      </c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str">
        <f>IFERROR(_xlfn.XLOOKUP(N8,Rounds!M$2:M$17,Rounds!P$2:P$17), _xlfn.XLOOKUP(N8,Rounds!P$2:P$17,Rounds!M$2:M$17))</f>
        <v>South Africa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N4" sqref="N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>
        <v>0</v>
      </c>
      <c r="K2" s="81">
        <v>3</v>
      </c>
      <c r="L2" s="134" t="str">
        <v>Brazil</v>
      </c>
      <c r="M2" s="132" t="str">
        <f>IF('2026 World Cup'!BL10="",NA(),'2026 World Cup'!BL10)</f>
        <v>Germany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Paraguay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>
        <v>4</v>
      </c>
      <c r="K3" s="81">
        <v>2</v>
      </c>
      <c r="L3" s="134" t="str">
        <v>Haiti</v>
      </c>
      <c r="M3" s="132" t="str">
        <f>'2026 World Cup'!BL14</f>
        <v>France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Sweden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>
        <v>2</v>
      </c>
      <c r="K4" s="81">
        <v>1</v>
      </c>
      <c r="L4" s="134" t="str">
        <v>Canada</v>
      </c>
      <c r="M4" s="132" t="str">
        <f>'2026 World Cup'!BL18</f>
        <v>South Africa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Canada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>
        <v>3</v>
      </c>
      <c r="K5" s="81">
        <v>1</v>
      </c>
      <c r="L5" s="134" t="str">
        <v>Qatar</v>
      </c>
      <c r="M5" s="132" t="str">
        <f>'2026 World Cup'!BL22</f>
        <v>Netherlands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Morocco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>
        <v>0</v>
      </c>
      <c r="K6" s="81">
        <v>3</v>
      </c>
      <c r="L6" s="134" t="str">
        <v>Mexico</v>
      </c>
      <c r="M6" s="132" t="str">
        <f>'2026 World Cup'!BL26</f>
        <v>Portugal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Croatia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>
        <v>1</v>
      </c>
      <c r="K7" s="81">
        <v>0</v>
      </c>
      <c r="L7" s="134" t="str">
        <v>Korea Republic</v>
      </c>
      <c r="M7" s="132" t="str">
        <f>'2026 World Cup'!BL30</f>
        <v>Spain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Austria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>
        <v>0</v>
      </c>
      <c r="K8" s="81">
        <v>2</v>
      </c>
      <c r="L8" s="134" t="str">
        <v>Ivory Coast</v>
      </c>
      <c r="M8" s="132" t="str">
        <f>'2026 World Cup'!BL34</f>
        <v>United States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Bosnia and Herzegovina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>
        <v>2</v>
      </c>
      <c r="K9" s="81">
        <v>1</v>
      </c>
      <c r="L9" s="134" t="str">
        <v>Germany</v>
      </c>
      <c r="M9" s="132" t="str">
        <f>'2026 World Cup'!BL38</f>
        <v>Belgium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Senegal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>
        <v>1</v>
      </c>
      <c r="K10" s="81">
        <v>1</v>
      </c>
      <c r="L10" s="134" t="str">
        <v>Sweden</v>
      </c>
      <c r="M10" s="132" t="str">
        <f>'2026 World Cup'!BL42</f>
        <v>Brazil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Japan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>
        <v>1</v>
      </c>
      <c r="K11" s="81">
        <v>3</v>
      </c>
      <c r="L11" s="134" t="str">
        <v>Netherlands</v>
      </c>
      <c r="M11" s="132" t="str">
        <f>'2026 World Cup'!BL46</f>
        <v>Ivory Coast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Norway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>
        <v>3</v>
      </c>
      <c r="K12" s="81">
        <v>2</v>
      </c>
      <c r="L12" s="134" t="str">
        <v>United States</v>
      </c>
      <c r="M12" s="132" t="str">
        <f>'2026 World Cup'!BL50</f>
        <v>Mexico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Ecuador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>
        <v>0</v>
      </c>
      <c r="K13" s="81">
        <v>0</v>
      </c>
      <c r="L13" s="134" t="str">
        <v>Australia</v>
      </c>
      <c r="M13" s="132" t="str">
        <f>'2026 World Cup'!BL54</f>
        <v>England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DR Congo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>
        <v>1</v>
      </c>
      <c r="K14" s="81">
        <v>4</v>
      </c>
      <c r="L14" s="134" t="str">
        <v>France</v>
      </c>
      <c r="M14" s="132" t="str">
        <f>'2026 World Cup'!BL58</f>
        <v>Argentina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Cape Verde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>
        <v>5</v>
      </c>
      <c r="K15" s="81">
        <v>0</v>
      </c>
      <c r="L15" s="134" t="str">
        <v>Iraq</v>
      </c>
      <c r="M15" s="132" t="str">
        <f>'2026 World Cup'!BL62</f>
        <v>Australia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Egypt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>
        <v>1</v>
      </c>
      <c r="K16" s="81">
        <v>1</v>
      </c>
      <c r="L16" s="134" t="str">
        <v>Iran</v>
      </c>
      <c r="M16" s="132" t="str">
        <f>'2026 World Cup'!BL66</f>
        <v>Switzerland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Algeria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>
        <v>1</v>
      </c>
      <c r="K17" s="81">
        <v>5</v>
      </c>
      <c r="L17" s="134" t="str">
        <v>Belgium</v>
      </c>
      <c r="M17" s="135" t="str">
        <f>'2026 World Cup'!BL70</f>
        <v>Colombia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Ghana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>
        <v>0</v>
      </c>
      <c r="K18" s="81">
        <v>0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>
        <v>0</v>
      </c>
      <c r="K19" s="81">
        <v>1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>
        <v>0</v>
      </c>
      <c r="K20" s="81">
        <v>2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>
        <v>2</v>
      </c>
      <c r="K21" s="81">
        <v>1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>
        <v>3</v>
      </c>
      <c r="K22" s="81">
        <v>3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>
        <v>1</v>
      </c>
      <c r="K23" s="81">
        <v>3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>
        <v>0</v>
      </c>
      <c r="K24" s="81">
        <v>0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>
        <v>3</v>
      </c>
      <c r="K25" s="153">
        <v>1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G36" zoomScale="112" zoomScaleNormal="100" workbookViewId="0">
      <selection activeCell="G79" sqref="G79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64"/>
      <c r="BL11" s="26" t="str">
        <f>IF(group_round_completed,VLOOKUP('3rd places'!G3,AK80:AS91,9,FALSE),"3rd Group A/B/C/D/F")</f>
        <v>Paraguay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63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64"/>
      <c r="BL15" s="26" t="str">
        <f>IF(group_round_completed,VLOOKUP('3rd places'!I3,AK80:AS91,9,FALSE),"3rd Group C/D/F/G/H")</f>
        <v>Sweden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63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64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64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63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>
        <f>IF(OR(F31="",G31=""),"",IF(F31&gt;G31,1,IF(F31&lt;G31,-1,0)))</f>
        <v>0</v>
      </c>
      <c r="BK31" s="164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64"/>
      <c r="BL35" s="26" t="str">
        <f>IF(group_round_completed,VLOOKUP('3rd places'!F3,AK80:AS91,9,FALSE),"3rd Group B/E/F/I/J")</f>
        <v>Bosnia and Herzegovina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63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64"/>
      <c r="BL39" s="26" t="str">
        <f>IF(group_round_completed,VLOOKUP('3rd places'!H3,AK80:AS91,9,FALSE),"3rd Group A/E/H/I/J")</f>
        <v>Senegal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63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64"/>
      <c r="BL43" s="26" t="str">
        <f>AS39</f>
        <v>Japan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63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64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6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63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64"/>
      <c r="BL51" s="26" t="str">
        <f>IF(group_round_completed,VLOOKUP('3rd places'!D3,AK80:AS91,9,FALSE),"3rd Group C/E/F/H/I")</f>
        <v>Ecuador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63">
        <v>80</v>
      </c>
      <c r="BL54" s="24" t="str">
        <f>AS74</f>
        <v>England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64"/>
      <c r="BL55" s="26" t="str">
        <f>IF(group_round_completed,VLOOKUP('3rd places'!K3,AK80:AS91,9,FALSE),"3rd Group E/H/I/J/K")</f>
        <v>DR Congo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64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63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64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2026-06-29T03:30:04Z</dcterms:modified>
  <cp:category>Sports</cp:category>
  <cp:contentStatus/>
</cp:coreProperties>
</file>