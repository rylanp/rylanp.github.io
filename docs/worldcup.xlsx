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51C738F3-56DE-A240-8D02-46A6743AD338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7" i="5" l="1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T20" i="3" s="1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51" i="3"/>
  <c r="S54" i="3"/>
  <c r="S77" i="3"/>
  <c r="S50" i="3"/>
  <c r="S76" i="3"/>
  <c r="S47" i="3"/>
  <c r="S67" i="3"/>
  <c r="T43" i="3"/>
  <c r="S72" i="3"/>
  <c r="S70" i="3"/>
  <c r="T45" i="3"/>
  <c r="S42" i="3"/>
  <c r="S64" i="3"/>
  <c r="S40" i="3"/>
  <c r="S62" i="3"/>
  <c r="T61" i="3"/>
  <c r="T39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L58" i="3" l="1"/>
  <c r="AD22" i="3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P59" i="3" l="1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92" i="3" l="1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<sst xmlns="http://schemas.openxmlformats.org/spreadsheetml/2006/main" count="9885" uniqueCount="3715">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</sst>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F15" sqref="F15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str">
        <f>IFERROR(_xlfn.XLOOKUP(F3,Rounds!E$2:E$25,Rounds!H$2:H$25), _xlfn.XLOOKUP(F3,Rounds!H$2:H$25,Rounds!E$2:E$25))</f>
        <v>Australia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str">
        <f>IFERROR(_xlfn.XLOOKUP(F5,Rounds!E$2:E$25,Rounds!H$2:H$25), _xlfn.XLOOKUP(F5,Rounds!H$2:H$25,Rounds!E$2:E$25))</f>
        <v>Curaçao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str">
        <f>IFERROR(_xlfn.XLOOKUP(F6,Rounds!E$2:E$25,Rounds!H$2:H$25), _xlfn.XLOOKUP(F6,Rounds!H$2:H$25,Rounds!E$2:E$25))</f>
        <v>Tunisia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str">
        <f>IFERROR(_xlfn.XLOOKUP(F7,Rounds!E$2:E$25,Rounds!H$2:H$25), _xlfn.XLOOKUP(F7,Rounds!H$2:H$25,Rounds!E$2:E$25))</f>
        <v>New Zealand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str">
        <f>IFERROR(_xlfn.XLOOKUP(F8,Rounds!E$2:E$25,Rounds!H$2:H$25), _xlfn.XLOOKUP(F8,Rounds!H$2:H$25,Rounds!E$2:E$25))</f>
        <v>Curaçao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zoomScale="112" zoomScaleNormal="100" workbookViewId="0">
      <selection activeCell="H31" sqref="H31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6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6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6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6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6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6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6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6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6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6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6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6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6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6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6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6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6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6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5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AB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Ⓚ DR Congo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ABCE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Ⓑ Qatar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ABCEF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Ⓗ Spain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ABCEFG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Ⓐ Czech Republic</v>
      </c>
      <c r="K87" s="100">
        <f t="shared" si="47"/>
        <v>1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1</v>
      </c>
      <c r="O87" s="100" t="str">
        <f>VLOOKUP(7,$AD$80:$AN$91,6,FALSE) &amp; " - " &amp; VLOOKUP(7,$AD$80:$AN$91,7,FALSE)</f>
        <v>1 - 2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6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ABCEFGH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Ⓔ Ecuador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ABCEFGH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Ⓛ Panama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33.334029058333329</v>
      </c>
      <c r="AQ89" s="126">
        <f t="shared" si="37"/>
        <v>1391.45</v>
      </c>
      <c r="AR89" s="125" t="str">
        <f t="shared" si="50"/>
        <v>ABCEFGH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4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5700.0007391749996</v>
      </c>
      <c r="AQ90" s="126">
        <f t="shared" si="37"/>
        <v>1478.35</v>
      </c>
      <c r="AR90" s="125" t="str">
        <f t="shared" si="50"/>
        <v>ABCEFGHK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9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333.33410365333333</v>
      </c>
      <c r="AQ91" s="126">
        <f t="shared" si="37"/>
        <v>1540.64</v>
      </c>
      <c r="AR91" s="125" t="str">
        <f t="shared" si="50"/>
        <v>ABCEFGHK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423</v>
      </c>
      <c r="C3" s="121" t="str">
        <f>'2026 World Cup'!AR91</f>
        <v>ABCEFGHK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2026-06-18T14:02:17Z</dcterms:modified>
  <cp:category>Sports</cp:category>
  <cp:contentStatus/>
</cp:coreProperties>
</file>