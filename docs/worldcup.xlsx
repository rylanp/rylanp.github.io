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D51983EC-83F0-D74A-BFDE-F114919CAEDD}" xr6:coauthVersionLast="47" xr6:coauthVersionMax="47" xr10:uidLastSave="{00000000-0000-0000-0000-000000000000}"/>
  <bookViews>
    <workbookView xWindow="0" yWindow="660" windowWidth="34560" windowHeight="21680" activeTab="1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5" l="1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AE2" i="6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E2" i="6" a="1"/>
  <c r="E2" i="6" s="1"/>
  <c r="I6" i="5" s="1"/>
  <c r="A2" i="6" a="1"/>
  <c r="A2" i="6" s="1"/>
  <c r="C5" i="5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G3" i="5" l="1"/>
  <c r="G7" i="5"/>
  <c r="H3" i="5"/>
  <c r="H7" i="5"/>
  <c r="I3" i="5"/>
  <c r="I7" i="5"/>
  <c r="G8" i="5"/>
  <c r="G4" i="5"/>
  <c r="H4" i="5"/>
  <c r="H8" i="5"/>
  <c r="I8" i="5"/>
  <c r="G5" i="5"/>
  <c r="H5" i="5"/>
  <c r="I5" i="5"/>
  <c r="G6" i="5"/>
  <c r="I4" i="5"/>
  <c r="H6" i="5"/>
  <c r="C7" i="5"/>
  <c r="D5" i="5"/>
  <c r="E4" i="5"/>
  <c r="D8" i="5"/>
  <c r="D4" i="5"/>
  <c r="E7" i="5"/>
  <c r="E6" i="5"/>
  <c r="D6" i="5"/>
  <c r="C3" i="5"/>
  <c r="E8" i="5"/>
  <c r="C8" i="5"/>
  <c r="C4" i="5"/>
  <c r="D7" i="5"/>
  <c r="C6" i="5"/>
  <c r="E5" i="5"/>
  <c r="D3" i="5"/>
  <c r="E3" i="5"/>
  <c r="CR38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S28" i="3"/>
  <c r="T28" i="3" s="1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S19" i="3"/>
  <c r="T19" i="3" s="1"/>
  <c r="S20" i="3"/>
  <c r="T20" i="3" s="1"/>
  <c r="S44" i="3"/>
  <c r="T44" i="3" s="1"/>
  <c r="S46" i="3"/>
  <c r="T46" i="3" s="1"/>
  <c r="S21" i="3"/>
  <c r="T21" i="3" s="1"/>
  <c r="S45" i="3"/>
  <c r="S18" i="3"/>
  <c r="T18" i="3" s="1"/>
  <c r="S63" i="3"/>
  <c r="T63" i="3" s="1"/>
  <c r="S17" i="3"/>
  <c r="T17" i="3" s="1"/>
  <c r="S41" i="3"/>
  <c r="T41" i="3" s="1"/>
  <c r="S15" i="3"/>
  <c r="T15" i="3" s="1"/>
  <c r="S61" i="3"/>
  <c r="S16" i="3"/>
  <c r="T16" i="3" s="1"/>
  <c r="S39" i="3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T74" i="3"/>
  <c r="T51" i="3"/>
  <c r="S54" i="3"/>
  <c r="S77" i="3"/>
  <c r="S50" i="3"/>
  <c r="S76" i="3"/>
  <c r="S47" i="3"/>
  <c r="S67" i="3"/>
  <c r="T43" i="3"/>
  <c r="S72" i="3"/>
  <c r="S70" i="3"/>
  <c r="T45" i="3"/>
  <c r="S42" i="3"/>
  <c r="S64" i="3"/>
  <c r="S40" i="3"/>
  <c r="S62" i="3"/>
  <c r="T61" i="3"/>
  <c r="T39" i="3"/>
  <c r="S38" i="3"/>
  <c r="S65" i="3"/>
  <c r="T66" i="3"/>
  <c r="S55" i="3"/>
  <c r="T56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11" i="3"/>
  <c r="AR10" i="3"/>
  <c r="AR9" i="3"/>
  <c r="AR35" i="3"/>
  <c r="AR34" i="3"/>
  <c r="AR33" i="3"/>
  <c r="AR71" i="3"/>
  <c r="AR29" i="3" l="1"/>
  <c r="AR27" i="3"/>
  <c r="AR28" i="3"/>
  <c r="AR75" i="3"/>
  <c r="AR21" i="3"/>
  <c r="AR76" i="3"/>
  <c r="AR69" i="3"/>
  <c r="AR70" i="3"/>
  <c r="AR22" i="3"/>
  <c r="AR77" i="3"/>
  <c r="AD75" i="3" s="1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AD33" i="3"/>
  <c r="AD32" i="3"/>
  <c r="AD34" i="3"/>
  <c r="AD35" i="3"/>
  <c r="AD27" i="3"/>
  <c r="AD26" i="3"/>
  <c r="AD28" i="3"/>
  <c r="AD29" i="3"/>
  <c r="AD9" i="3"/>
  <c r="AD8" i="3"/>
  <c r="AD10" i="3"/>
  <c r="AD11" i="3"/>
  <c r="L58" i="3" l="1"/>
  <c r="AD22" i="3"/>
  <c r="AD41" i="3"/>
  <c r="AD69" i="3"/>
  <c r="AD71" i="3"/>
  <c r="L59" i="3"/>
  <c r="O60" i="3"/>
  <c r="N58" i="3"/>
  <c r="AD70" i="3"/>
  <c r="AD68" i="3"/>
  <c r="AD77" i="3"/>
  <c r="AD15" i="3"/>
  <c r="AD76" i="3"/>
  <c r="AD74" i="3"/>
  <c r="M58" i="3"/>
  <c r="AD53" i="3"/>
  <c r="AD21" i="3"/>
  <c r="AD20" i="3"/>
  <c r="AD44" i="3"/>
  <c r="AD39" i="3"/>
  <c r="M59" i="3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12" i="3"/>
  <c r="N12" i="3"/>
  <c r="O9" i="3"/>
  <c r="N9" i="3"/>
  <c r="O12" i="3"/>
  <c r="M9" i="3"/>
  <c r="L12" i="3"/>
  <c r="M12" i="3"/>
  <c r="J9" i="3"/>
  <c r="AS8" i="3" s="1"/>
  <c r="BL50" i="3" s="1"/>
  <c r="M12" i="6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30" i="3"/>
  <c r="J29" i="3"/>
  <c r="AE83" i="3" s="1"/>
  <c r="AQ83" i="3" s="1"/>
  <c r="J28" i="3"/>
  <c r="AS27" i="3" s="1"/>
  <c r="BL62" i="3" s="1"/>
  <c r="J27" i="3"/>
  <c r="AS26" i="3" s="1"/>
  <c r="BL34" i="3" s="1"/>
  <c r="N27" i="3"/>
  <c r="M29" i="3"/>
  <c r="M27" i="3"/>
  <c r="N29" i="3"/>
  <c r="L29" i="3"/>
  <c r="O29" i="3"/>
  <c r="L27" i="3"/>
  <c r="L28" i="3"/>
  <c r="O28" i="3"/>
  <c r="M30" i="3"/>
  <c r="M28" i="3"/>
  <c r="O30" i="3"/>
  <c r="O27" i="3"/>
  <c r="N28" i="3"/>
  <c r="N30" i="3"/>
  <c r="L30" i="3"/>
  <c r="J36" i="3"/>
  <c r="J35" i="3"/>
  <c r="AE84" i="3" s="1"/>
  <c r="AQ84" i="3" s="1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N69" i="3" l="1"/>
  <c r="P59" i="3"/>
  <c r="M4" i="6"/>
  <c r="S88" i="3"/>
  <c r="T88" i="3" s="1" a="1"/>
  <c r="T88" i="3" s="1"/>
  <c r="BS20" i="3"/>
  <c r="M8" i="6"/>
  <c r="S90" i="3"/>
  <c r="T90" i="3" s="1" a="1"/>
  <c r="T90" i="3" s="1"/>
  <c r="BS36" i="3"/>
  <c r="K58" i="3"/>
  <c r="BS61" i="3"/>
  <c r="T8" i="6" s="1"/>
  <c r="M15" i="6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K30" i="3"/>
  <c r="P30" i="3"/>
  <c r="P28" i="3"/>
  <c r="K28" i="3"/>
  <c r="K27" i="3"/>
  <c r="P27" i="3"/>
  <c r="K29" i="3"/>
  <c r="P29" i="3"/>
  <c r="AF83" i="3"/>
  <c r="AG83" i="3"/>
  <c r="AH83" i="3"/>
  <c r="AI83" i="3"/>
  <c r="AJ83" i="3"/>
  <c r="AL83" i="3"/>
  <c r="AN83" i="3"/>
  <c r="AT83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Q5" i="6" l="1"/>
  <c r="S98" i="3"/>
  <c r="T98" i="3" s="1" a="1"/>
  <c r="T98" i="3" s="1"/>
  <c r="BZ33" i="3"/>
  <c r="Q3" i="6"/>
  <c r="S96" i="3"/>
  <c r="T96" i="3" s="1" a="1"/>
  <c r="T96" i="3" s="1"/>
  <c r="T6" i="6"/>
  <c r="M6" i="6"/>
  <c r="S86" i="3"/>
  <c r="T86" i="3" s="1" a="1"/>
  <c r="T86" i="3" s="1"/>
  <c r="BS28" i="3"/>
  <c r="M5" i="6"/>
  <c r="S89" i="3"/>
  <c r="T89" i="3" s="1" a="1"/>
  <c r="T89" i="3" s="1"/>
  <c r="BS21" i="3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CN48" i="3"/>
  <c r="AM92" i="3"/>
  <c r="AP87" i="3" s="1"/>
  <c r="AP91" i="3" l="1"/>
  <c r="AP83" i="3"/>
  <c r="AP82" i="3"/>
  <c r="AP88" i="3"/>
  <c r="AP90" i="3"/>
  <c r="AP86" i="3"/>
  <c r="AP89" i="3"/>
  <c r="AP81" i="3"/>
  <c r="AP80" i="3"/>
  <c r="AP84" i="3"/>
  <c r="AD84" i="3" s="1"/>
  <c r="AS84" i="3" s="1"/>
  <c r="AP85" i="3"/>
  <c r="AD88" i="3" s="1"/>
  <c r="AS88" i="3" s="1"/>
  <c r="AD89" i="3"/>
  <c r="AS89" i="3" s="1"/>
  <c r="AD86" i="3" l="1"/>
  <c r="AS86" i="3" s="1"/>
  <c r="AD82" i="3"/>
  <c r="AS82" i="3" s="1"/>
  <c r="AD83" i="3"/>
  <c r="AS83" i="3" s="1"/>
  <c r="AD81" i="3"/>
  <c r="AS81" i="3" s="1"/>
  <c r="AD91" i="3"/>
  <c r="AS91" i="3" s="1"/>
  <c r="AD90" i="3"/>
  <c r="AS90" i="3" s="1"/>
  <c r="AD85" i="3"/>
  <c r="AS85" i="3" s="1"/>
  <c r="AD80" i="3"/>
  <c r="AD87" i="3"/>
  <c r="AS87" i="3" s="1"/>
  <c r="L88" i="3" l="1"/>
  <c r="M86" i="3"/>
  <c r="J88" i="3"/>
  <c r="N84" i="3"/>
  <c r="L83" i="3"/>
  <c r="L92" i="3"/>
  <c r="O83" i="3"/>
  <c r="M87" i="3"/>
  <c r="L86" i="3"/>
  <c r="P86" i="3" s="1"/>
  <c r="J81" i="3"/>
  <c r="M89" i="3"/>
  <c r="O84" i="3"/>
  <c r="N89" i="3"/>
  <c r="AS80" i="3"/>
  <c r="N87" i="3"/>
  <c r="M82" i="3"/>
  <c r="N83" i="3"/>
  <c r="N91" i="3"/>
  <c r="M83" i="3"/>
  <c r="K83" i="3" s="1"/>
  <c r="J83" i="3"/>
  <c r="O92" i="3"/>
  <c r="M85" i="3"/>
  <c r="L85" i="3"/>
  <c r="M81" i="3"/>
  <c r="J91" i="3"/>
  <c r="N86" i="3"/>
  <c r="L81" i="3"/>
  <c r="M84" i="3"/>
  <c r="L90" i="3"/>
  <c r="J84" i="3"/>
  <c r="J90" i="3"/>
  <c r="L82" i="3"/>
  <c r="P82" i="3" s="1"/>
  <c r="N88" i="3"/>
  <c r="O85" i="3"/>
  <c r="O82" i="3"/>
  <c r="O90" i="3"/>
  <c r="O87" i="3"/>
  <c r="O88" i="3"/>
  <c r="M88" i="3"/>
  <c r="P88" i="3" s="1"/>
  <c r="M90" i="3"/>
  <c r="N90" i="3"/>
  <c r="N81" i="3"/>
  <c r="J92" i="3"/>
  <c r="N82" i="3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L87" i="3"/>
  <c r="J89" i="3"/>
  <c r="O86" i="3"/>
  <c r="N85" i="3"/>
  <c r="J87" i="3"/>
  <c r="L89" i="3"/>
  <c r="J82" i="3"/>
  <c r="O89" i="3"/>
  <c r="O91" i="3"/>
  <c r="P92" i="3" l="1"/>
  <c r="P84" i="3"/>
  <c r="P85" i="3"/>
  <c r="K90" i="3"/>
  <c r="P90" i="3"/>
  <c r="P89" i="3"/>
  <c r="K82" i="3"/>
  <c r="P81" i="3"/>
  <c r="K87" i="3"/>
  <c r="K86" i="3"/>
  <c r="P83" i="3"/>
  <c r="K81" i="3"/>
  <c r="P87" i="3"/>
  <c r="K85" i="3"/>
  <c r="K84" i="3"/>
  <c r="K88" i="3"/>
  <c r="K92" i="3"/>
  <c r="K91" i="3"/>
  <c r="P91" i="3"/>
  <c r="D3" i="4"/>
  <c r="K3" i="4"/>
  <c r="B3" i="4"/>
  <c r="G3" i="4"/>
  <c r="BL11" i="3" s="1"/>
  <c r="P2" i="6" s="1"/>
  <c r="E3" i="4"/>
  <c r="J3" i="4"/>
  <c r="BL71" i="3" s="1"/>
  <c r="P17" i="6" s="1"/>
  <c r="I3" i="4"/>
  <c r="BL15" i="3" s="1"/>
  <c r="P3" i="6" s="1"/>
  <c r="H3" i="4"/>
  <c r="BL39" i="3" s="1"/>
  <c r="P9" i="6" s="1"/>
  <c r="K89" i="3"/>
  <c r="BS12" i="3"/>
  <c r="S84" i="3"/>
  <c r="T84" i="3" s="1" a="1"/>
  <c r="T84" i="3" s="1"/>
  <c r="BS53" i="3"/>
  <c r="T7" i="6" s="1"/>
  <c r="BL55" i="3"/>
  <c r="P13" i="6" s="1"/>
  <c r="BS52" i="3"/>
  <c r="BL51" i="3"/>
  <c r="P12" i="6" s="1"/>
  <c r="BS69" i="3"/>
  <c r="T9" i="6" s="1"/>
  <c r="BS68" i="3"/>
  <c r="BL67" i="3"/>
  <c r="Q9" i="6" l="1"/>
  <c r="BZ65" i="3"/>
  <c r="Q2" i="6"/>
  <c r="BZ16" i="3"/>
  <c r="S95" i="3"/>
  <c r="T95" i="3" s="1" a="1"/>
  <c r="T95" i="3" s="1"/>
  <c r="BZ49" i="3"/>
  <c r="Q7" i="6"/>
  <c r="P16" i="6"/>
  <c r="P4" i="5" s="1"/>
  <c r="Q6" i="5" l="1"/>
  <c r="Q3" i="5"/>
  <c r="P3" i="5"/>
  <c r="Q7" i="5"/>
  <c r="O3" i="5"/>
  <c r="P7" i="5"/>
  <c r="O5" i="5"/>
  <c r="O6" i="5"/>
  <c r="O8" i="5"/>
  <c r="Q4" i="5"/>
  <c r="O7" i="5"/>
  <c r="Q5" i="5"/>
  <c r="P5" i="5"/>
  <c r="P8" i="5"/>
  <c r="U7" i="5"/>
  <c r="U3" i="5"/>
  <c r="T7" i="5"/>
  <c r="T3" i="5"/>
  <c r="S3" i="5"/>
  <c r="U6" i="5"/>
  <c r="T6" i="5"/>
  <c r="T5" i="5"/>
  <c r="U8" i="5"/>
  <c r="U4" i="5"/>
  <c r="S8" i="5"/>
  <c r="T8" i="5"/>
  <c r="T4" i="5"/>
  <c r="S4" i="5"/>
  <c r="S7" i="5"/>
  <c r="S6" i="5"/>
  <c r="U5" i="5"/>
  <c r="S5" i="5"/>
  <c r="P6" i="5"/>
  <c r="O4" i="5"/>
  <c r="Q8" i="5"/>
  <c r="U2" i="6"/>
  <c r="S102" i="3"/>
  <c r="T102" i="3" s="1" a="1"/>
  <c r="T102" i="3" s="1"/>
  <c r="CG23" i="3"/>
  <c r="CG55" i="3"/>
  <c r="X4" i="6"/>
  <c r="CG56" i="3"/>
  <c r="X5" i="6"/>
  <c r="Y5" i="5" l="1"/>
  <c r="X5" i="5"/>
  <c r="Y4" i="5"/>
  <c r="W4" i="5"/>
  <c r="Y7" i="5"/>
  <c r="X7" i="5"/>
  <c r="X3" i="5"/>
  <c r="Y6" i="5"/>
  <c r="W5" i="5"/>
  <c r="Y8" i="5"/>
  <c r="X4" i="5"/>
  <c r="W8" i="5"/>
  <c r="Y3" i="5"/>
  <c r="W7" i="5"/>
  <c r="W3" i="5"/>
  <c r="X6" i="5"/>
  <c r="W6" i="5"/>
  <c r="X8" i="5"/>
  <c r="AB3" i="6"/>
  <c r="CN49" i="3"/>
  <c r="Y3" i="6"/>
  <c r="CN38" i="3"/>
  <c r="AF2" i="6" s="1"/>
  <c r="CN37" i="3"/>
  <c r="S111" i="3"/>
  <c r="T111" i="3" s="1"/>
  <c r="Y2" i="6"/>
  <c r="AC7" i="5" l="1"/>
  <c r="AC3" i="5"/>
  <c r="AB7" i="5"/>
  <c r="AB3" i="5"/>
  <c r="AA3" i="5"/>
  <c r="AB6" i="5"/>
  <c r="AA6" i="5"/>
  <c r="AB5" i="5"/>
  <c r="AC8" i="5"/>
  <c r="AC4" i="5"/>
  <c r="AA8" i="5"/>
  <c r="AA4" i="5"/>
  <c r="AA7" i="5"/>
  <c r="AB8" i="5"/>
  <c r="AB4" i="5"/>
  <c r="AC6" i="5"/>
  <c r="AC5" i="5"/>
  <c r="AA5" i="5"/>
  <c r="CK68" i="3"/>
  <c r="AC2" i="6"/>
  <c r="AG8" i="5" l="1" a="1"/>
  <c r="AG8" i="5" s="1"/>
  <c r="AF5" i="5" a="1"/>
  <c r="AF5" i="5" s="1"/>
  <c r="AE5" i="5" a="1"/>
  <c r="AE5" i="5" s="1"/>
  <c r="AF8" i="5" a="1"/>
  <c r="AF8" i="5" s="1"/>
  <c r="AE8" i="5" a="1"/>
  <c r="AE8" i="5" s="1"/>
  <c r="AG7" i="5" a="1"/>
  <c r="AG7" i="5" s="1"/>
  <c r="AF7" i="5" a="1"/>
  <c r="AF7" i="5" s="1"/>
  <c r="AE7" i="5" a="1"/>
  <c r="AE7" i="5" s="1"/>
  <c r="AG6" i="5" a="1"/>
  <c r="AG6" i="5" s="1"/>
  <c r="AF3" i="5" a="1"/>
  <c r="AF3" i="5" s="1"/>
  <c r="AE3" i="5" a="1"/>
  <c r="AE3" i="5" s="1"/>
  <c r="AF6" i="5" a="1"/>
  <c r="AF6" i="5" s="1"/>
  <c r="AF4" i="5" a="1"/>
  <c r="AF4" i="5" s="1"/>
  <c r="AG3" i="5" a="1"/>
  <c r="AG3" i="5" s="1"/>
  <c r="AE6" i="5" a="1"/>
  <c r="AE6" i="5" s="1"/>
  <c r="AG5" i="5" a="1"/>
  <c r="AG5" i="5" s="1"/>
  <c r="AG4" i="5" a="1"/>
  <c r="AG4" i="5" s="1"/>
  <c r="AE4" i="5" a="1"/>
  <c r="AE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<sst xmlns="http://schemas.openxmlformats.org/spreadsheetml/2006/main" count="9885" uniqueCount="3715">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</sst>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0" fillId="0" borderId="60" xfId="0" applyBorder="1"/>
    <xf numFmtId="0" fontId="24" fillId="11" borderId="64" xfId="0" applyFont="1" applyFill="1" applyBorder="1" applyAlignment="1">
      <alignment horizontal="center"/>
    </xf>
    <xf numFmtId="0" fontId="24" fillId="11" borderId="60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8"/>
  <sheetViews>
    <sheetView tabSelected="1" workbookViewId="0">
      <selection activeCell="F29" sqref="F29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8" t="s">
        <v>3698</v>
      </c>
      <c r="B1" s="155" t="s">
        <v>3705</v>
      </c>
      <c r="C1" s="156"/>
      <c r="D1" s="156"/>
      <c r="E1" s="157"/>
      <c r="F1" s="156" t="s">
        <v>3706</v>
      </c>
      <c r="G1" s="156"/>
      <c r="H1" s="156"/>
      <c r="I1" s="156"/>
      <c r="J1" s="155" t="s">
        <v>3707</v>
      </c>
      <c r="K1" s="156"/>
      <c r="L1" s="156"/>
      <c r="M1" s="156"/>
      <c r="N1" s="155" t="s">
        <v>3708</v>
      </c>
      <c r="O1" s="156"/>
      <c r="P1" s="156"/>
      <c r="Q1" s="157"/>
      <c r="R1" s="156" t="s">
        <v>3709</v>
      </c>
      <c r="S1" s="156"/>
      <c r="T1" s="156"/>
      <c r="U1" s="156"/>
      <c r="V1" s="155" t="s">
        <v>3710</v>
      </c>
      <c r="W1" s="156"/>
      <c r="X1" s="156"/>
      <c r="Y1" s="157"/>
      <c r="Z1" s="156" t="s">
        <v>3711</v>
      </c>
      <c r="AA1" s="156"/>
      <c r="AB1" s="156"/>
      <c r="AC1" s="156"/>
      <c r="AD1" s="155" t="s">
        <v>3712</v>
      </c>
      <c r="AE1" s="156"/>
      <c r="AF1" s="156"/>
      <c r="AG1" s="157"/>
    </row>
    <row r="2" spans="1:33" s="131" customFormat="1" x14ac:dyDescent="0.2">
      <c r="A2" s="159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>
        <f>IFERROR(_xlfn.XLOOKUP(B3,Rounds!A$2:A$25,Rounds!B$2:B$25), _xlfn.XLOOKUP(B3,Rounds!D$2:D$25,Rounds!C$2:C$25))</f>
        <v>5</v>
      </c>
      <c r="D3" s="142">
        <f>IFERROR(_xlfn.XLOOKUP(B3,Rounds!A$2:A$25,Rounds!C$2:C$25), _xlfn.XLOOKUP(B3,Rounds!D$2:D$25,Rounds!B$2:B$25))</f>
        <v>1</v>
      </c>
      <c r="E3" s="140" t="str">
        <f>IFERROR(_xlfn.XLOOKUP(B3,Rounds!A$2:A$25,Rounds!D$2:D$25), _xlfn.XLOOKUP(B3,Rounds!D$2:D$25,Rounds!A$2:A$25))</f>
        <v>Tunisia</v>
      </c>
      <c r="F3" s="154" t="s">
        <v>1198</v>
      </c>
      <c r="G3" s="142" t="e">
        <f>IFERROR(_xlfn.XLOOKUP(F3,Rounds!E$2:E$25,Rounds!F$2:F$25), _xlfn.XLOOKUP(F3,Rounds!H$2:H$25,Rounds!G$2:G$25))</f>
        <v>#N/A</v>
      </c>
      <c r="H3" s="142" t="e">
        <f>IFERROR(_xlfn.XLOOKUP(F3,Rounds!E$2:E$25,Rounds!G$2:G$25), _xlfn.XLOOKUP(F3,Rounds!H$2:H$25,Rounds!F$2:F$25))</f>
        <v>#N/A</v>
      </c>
      <c r="I3" s="140" t="str">
        <f>IFERROR(_xlfn.XLOOKUP(F3,Rounds!E$2:E$25,Rounds!H$2:H$25), _xlfn.XLOOKUP(F3,Rounds!H$2:H$25,Rounds!E$2:E$25))</f>
        <v>Australia</v>
      </c>
      <c r="K3" s="142" t="e">
        <f>IFERROR(_xlfn.XLOOKUP(J3,Rounds!I$2:I$25,Rounds!J$2:J$25), _xlfn.XLOOKUP(J3,Rounds!L$2:L$25,Rounds!K$2:K$25))</f>
        <v>#N/A</v>
      </c>
      <c r="L3" s="142" t="e">
        <f>IFERROR(_xlfn.XLOOKUP(J3,Rounds!I$2:I$25,Rounds!K$2:K$25), _xlfn.XLOOKUP(J3,Rounds!L$2:L$25,Rounds!J$2:J$25))</f>
        <v>#N/A</v>
      </c>
      <c r="M3" s="140" t="e">
        <f>IFERROR(_xlfn.XLOOKUP(J3,Rounds!I$2:I$25,Rounds!L$2:L$25), _xlfn.XLOOKUP(J3,Rounds!L$2:L$25,Rounds!I$2:I$25))</f>
        <v>#N/A</v>
      </c>
      <c r="O3" s="142" t="e">
        <f>IFERROR(_xlfn.XLOOKUP(N3,Rounds!M$2:M$17,Rounds!N$2:N$17), _xlfn.XLOOKUP(N3,Rounds!P$2:P$17,Rounds!O$2:O$17))</f>
        <v>#N/A</v>
      </c>
      <c r="P3" s="142" t="e">
        <f>IFERROR(_xlfn.XLOOKUP(N3,Rounds!M$2:M$17,Rounds!O$2:O$17), _xlfn.XLOOKUP(N3,Rounds!P$2:P$17,Rounds!N$2:N$17))</f>
        <v>#N/A</v>
      </c>
      <c r="Q3" s="140" t="e">
        <f>IFERROR(_xlfn.XLOOKUP(N3,Rounds!M$2:M$17,Rounds!P$2:P$17), _xlfn.XLOOKUP(N3,Rounds!P$2:P$17,Rounds!M$2:M$17))</f>
        <v>#N/A</v>
      </c>
      <c r="S3" s="142" t="e">
        <f>IFERROR(_xlfn.XLOOKUP(R3,Rounds!Q$2:Q$9,Rounds!R$2:R$9), _xlfn.XLOOKUP(R3,Rounds!T$2:T$9,Rounds!S$2:S$9))</f>
        <v>#N/A</v>
      </c>
      <c r="T3" s="142" t="e">
        <f>IFERROR(_xlfn.XLOOKUP(R3,Rounds!Q$2:Q$9,Rounds!S$2:S$9), _xlfn.XLOOKUP(R3,Rounds!T$2:T$9,Rounds!R$2:R$9))</f>
        <v>#N/A</v>
      </c>
      <c r="U3" s="140" t="e">
        <f>IFERROR(_xlfn.XLOOKUP(R3,Rounds!Q$2:Q$9,Rounds!T$2:T$9), _xlfn.XLOOKUP(R3,Rounds!T$2:T$9,Rounds!Q$2:Q$9))</f>
        <v>#N/A</v>
      </c>
      <c r="W3" s="142" t="e">
        <f>IFERROR(_xlfn.XLOOKUP(V3,Rounds!U$2:U$5,Rounds!V$2:V$5), _xlfn.XLOOKUP(V3,Rounds!X$2:X$5,Rounds!W$2:W$5))</f>
        <v>#N/A</v>
      </c>
      <c r="X3" s="142" t="e">
        <f>IFERROR(_xlfn.XLOOKUP(V3,Rounds!U$2:U$5,Rounds!W$2:W$5), _xlfn.XLOOKUP(V3,Rounds!X$2:X$5,Rounds!V$2:V$5))</f>
        <v>#N/A</v>
      </c>
      <c r="Y3" s="140" t="e">
        <f>IFERROR(_xlfn.XLOOKUP(V3,Rounds!U$2:U$5,Rounds!X$2:X$5), _xlfn.XLOOKUP(V3,Rounds!X$2:X$5,Rounds!U$2:U$5))</f>
        <v>#N/A</v>
      </c>
      <c r="AA3" s="142" t="e">
        <f>IFERROR(_xlfn.XLOOKUP(Z3,Rounds!Y$2:Y$3,Rounds!Z$2:Z$3), _xlfn.XLOOKUP(Z3,Rounds!AB$2:AB$3,Rounds!AA$2:AA$3))</f>
        <v>#N/A</v>
      </c>
      <c r="AB3" s="142" t="e">
        <f>IFERROR(_xlfn.XLOOKUP(Z3,Rounds!Y$2:Y$3,Rounds!AA$2:AA$3), _xlfn.XLOOKUP(Z3,Rounds!AB$2:AB$3,Rounds!Z$2:Z$3))</f>
        <v>#N/A</v>
      </c>
      <c r="AC3" s="140" t="e">
        <f>IFERROR(_xlfn.XLOOKUP(Z3,Rounds!Y$2:Y$3,Rounds!AB$2:AB$3), _xlfn.XLOOKUP(Z3,Rounds!AB$2:AB$3,Rounds!Y$2:Y$3))</f>
        <v>#N/A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e" cm="1">
        <f t="array" ref="AG3">IFERROR(_xlfn.XLOOKUP(AD3,Rounds!AC$2:AC$2,Rounds!AF$2:AF$2), _xlfn.XLOOKUP(AD3,Rounds!AF$2:AF$2,Rounds!AC$2:AC$2))</f>
        <v>#N/A</v>
      </c>
    </row>
    <row r="4" spans="1:33" s="148" customFormat="1" x14ac:dyDescent="0.2">
      <c r="A4" s="145" t="s">
        <v>3700</v>
      </c>
      <c r="B4" s="145" t="s">
        <v>1798</v>
      </c>
      <c r="C4" s="146">
        <f>IFERROR(_xlfn.XLOOKUP(B4,Rounds!A$2:A$25,Rounds!B$2:B$25), _xlfn.XLOOKUP(B4,Rounds!D$2:D$25,Rounds!C$2:C$25))</f>
        <v>1</v>
      </c>
      <c r="D4" s="146">
        <f>IFERROR(_xlfn.XLOOKUP(B4,Rounds!A$2:A$25,Rounds!C$2:C$25), _xlfn.XLOOKUP(B4,Rounds!D$2:D$25,Rounds!B$2:B$25))</f>
        <v>1</v>
      </c>
      <c r="E4" s="147" t="str">
        <f>IFERROR(_xlfn.XLOOKUP(B4,Rounds!A$2:A$25,Rounds!D$2:D$25), _xlfn.XLOOKUP(B4,Rounds!D$2:D$25,Rounds!A$2:A$25))</f>
        <v>Qatar</v>
      </c>
      <c r="F4" s="148" t="s">
        <v>2274</v>
      </c>
      <c r="G4" s="146" t="e">
        <f>IFERROR(_xlfn.XLOOKUP(F4,Rounds!E$2:E$25,Rounds!F$2:F$25), _xlfn.XLOOKUP(F4,Rounds!H$2:H$25,Rounds!G$2:G$25))</f>
        <v>#N/A</v>
      </c>
      <c r="H4" s="146" t="e">
        <f>IFERROR(_xlfn.XLOOKUP(F4,Rounds!E$2:E$25,Rounds!G$2:G$25), _xlfn.XLOOKUP(F4,Rounds!H$2:H$25,Rounds!F$2:F$25))</f>
        <v>#N/A</v>
      </c>
      <c r="I4" s="147" t="str">
        <f>IFERROR(_xlfn.XLOOKUP(F4,Rounds!E$2:E$25,Rounds!H$2:H$25), _xlfn.XLOOKUP(F4,Rounds!H$2:H$25,Rounds!E$2:E$25))</f>
        <v>New Zealand</v>
      </c>
      <c r="K4" s="146" t="e">
        <f>IFERROR(_xlfn.XLOOKUP(J4,Rounds!I$2:I$25,Rounds!J$2:J$25), _xlfn.XLOOKUP(J4,Rounds!L$2:L$25,Rounds!K$2:K$25))</f>
        <v>#N/A</v>
      </c>
      <c r="L4" s="146" t="e">
        <f>IFERROR(_xlfn.XLOOKUP(J4,Rounds!I$2:I$25,Rounds!K$2:K$25), _xlfn.XLOOKUP(J4,Rounds!L$2:L$25,Rounds!J$2:J$25))</f>
        <v>#N/A</v>
      </c>
      <c r="M4" s="147" t="e">
        <f>IFERROR(_xlfn.XLOOKUP(J4,Rounds!I$2:I$25,Rounds!L$2:L$25), _xlfn.XLOOKUP(J4,Rounds!L$2:L$25,Rounds!I$2:I$25))</f>
        <v>#N/A</v>
      </c>
      <c r="O4" s="146" t="e">
        <f>IFERROR(_xlfn.XLOOKUP(N4,Rounds!M$2:M$17,Rounds!N$2:N$17), _xlfn.XLOOKUP(N4,Rounds!P$2:P$17,Rounds!O$2:O$17))</f>
        <v>#N/A</v>
      </c>
      <c r="P4" s="146" t="e">
        <f>IFERROR(_xlfn.XLOOKUP(N4,Rounds!M$2:M$17,Rounds!O$2:O$17), _xlfn.XLOOKUP(N4,Rounds!P$2:P$17,Rounds!N$2:N$17))</f>
        <v>#N/A</v>
      </c>
      <c r="Q4" s="147" t="e">
        <f>IFERROR(_xlfn.XLOOKUP(N4,Rounds!M$2:M$17,Rounds!P$2:P$17), _xlfn.XLOOKUP(N4,Rounds!P$2:P$17,Rounds!M$2:M$17))</f>
        <v>#N/A</v>
      </c>
      <c r="S4" s="146" t="e">
        <f>IFERROR(_xlfn.XLOOKUP(R4,Rounds!Q$2:Q$9,Rounds!R$2:R$9), _xlfn.XLOOKUP(R4,Rounds!T$2:T$9,Rounds!S$2:S$9))</f>
        <v>#N/A</v>
      </c>
      <c r="T4" s="146" t="e">
        <f>IFERROR(_xlfn.XLOOKUP(R4,Rounds!Q$2:Q$9,Rounds!S$2:S$9), _xlfn.XLOOKUP(R4,Rounds!T$2:T$9,Rounds!R$2:R$9))</f>
        <v>#N/A</v>
      </c>
      <c r="U4" s="147" t="e">
        <f>IFERROR(_xlfn.XLOOKUP(R4,Rounds!Q$2:Q$9,Rounds!T$2:T$9), _xlfn.XLOOKUP(R4,Rounds!T$2:T$9,Rounds!Q$2:Q$9))</f>
        <v>#N/A</v>
      </c>
      <c r="W4" s="146" t="e">
        <f>IFERROR(_xlfn.XLOOKUP(V4,Rounds!U$2:U$5,Rounds!V$2:V$5), _xlfn.XLOOKUP(V4,Rounds!X$2:X$5,Rounds!W$2:W$5))</f>
        <v>#N/A</v>
      </c>
      <c r="X4" s="146" t="e">
        <f>IFERROR(_xlfn.XLOOKUP(V4,Rounds!U$2:U$5,Rounds!W$2:W$5), _xlfn.XLOOKUP(V4,Rounds!X$2:X$5,Rounds!V$2:V$5))</f>
        <v>#N/A</v>
      </c>
      <c r="Y4" s="147" t="e">
        <f>IFERROR(_xlfn.XLOOKUP(V4,Rounds!U$2:U$5,Rounds!X$2:X$5), _xlfn.XLOOKUP(V4,Rounds!X$2:X$5,Rounds!U$2:U$5))</f>
        <v>#N/A</v>
      </c>
      <c r="AA4" s="146" t="e">
        <f>IFERROR(_xlfn.XLOOKUP(Z4,Rounds!Y$2:Y$3,Rounds!Z$2:Z$3), _xlfn.XLOOKUP(Z4,Rounds!AB$2:AB$3,Rounds!AA$2:AA$3))</f>
        <v>#N/A</v>
      </c>
      <c r="AB4" s="146" t="e">
        <f>IFERROR(_xlfn.XLOOKUP(Z4,Rounds!Y$2:Y$3,Rounds!AA$2:AA$3), _xlfn.XLOOKUP(Z4,Rounds!AB$2:AB$3,Rounds!Z$2:Z$3))</f>
        <v>#N/A</v>
      </c>
      <c r="AC4" s="147" t="e">
        <f>IFERROR(_xlfn.XLOOKUP(Z4,Rounds!Y$2:Y$3,Rounds!AB$2:AB$3), _xlfn.XLOOKUP(Z4,Rounds!AB$2:AB$3,Rounds!Y$2:Y$3))</f>
        <v>#N/A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e" cm="1">
        <f t="array" ref="AG4">IFERROR(_xlfn.XLOOKUP(AD4,Rounds!AC$2:AC$2,Rounds!AF$2:AF$2), _xlfn.XLOOKUP(AD4,Rounds!AF$2:AF$2,Rounds!AC$2:AC$2))</f>
        <v>#N/A</v>
      </c>
    </row>
    <row r="5" spans="1:33" x14ac:dyDescent="0.2">
      <c r="A5" s="132" t="s">
        <v>3701</v>
      </c>
      <c r="B5" s="132" t="s">
        <v>2573</v>
      </c>
      <c r="C5" s="82">
        <f>IFERROR(_xlfn.XLOOKUP(B5,Rounds!A$2:A$25,Rounds!B$2:B$25), _xlfn.XLOOKUP(B5,Rounds!D$2:D$25,Rounds!C$2:C$25))</f>
        <v>3</v>
      </c>
      <c r="D5" s="82">
        <f>IFERROR(_xlfn.XLOOKUP(B5,Rounds!A$2:A$25,Rounds!C$2:C$25), _xlfn.XLOOKUP(B5,Rounds!D$2:D$25,Rounds!B$2:B$25))</f>
        <v>1</v>
      </c>
      <c r="E5" s="134" t="str">
        <f>IFERROR(_xlfn.XLOOKUP(B5,Rounds!A$2:A$25,Rounds!D$2:D$25), _xlfn.XLOOKUP(B5,Rounds!D$2:D$25,Rounds!A$2:A$25))</f>
        <v>Uzbekistan</v>
      </c>
      <c r="F5" t="s">
        <v>1093</v>
      </c>
      <c r="G5" s="82" t="e">
        <f>IFERROR(_xlfn.XLOOKUP(F5,Rounds!E$2:E$25,Rounds!F$2:F$25), _xlfn.XLOOKUP(F5,Rounds!H$2:H$25,Rounds!G$2:G$25))</f>
        <v>#N/A</v>
      </c>
      <c r="H5" s="82" t="e">
        <f>IFERROR(_xlfn.XLOOKUP(F5,Rounds!E$2:E$25,Rounds!G$2:G$25), _xlfn.XLOOKUP(F5,Rounds!H$2:H$25,Rounds!F$2:F$25))</f>
        <v>#N/A</v>
      </c>
      <c r="I5" s="134" t="str">
        <f>IFERROR(_xlfn.XLOOKUP(F5,Rounds!E$2:E$25,Rounds!H$2:H$25), _xlfn.XLOOKUP(F5,Rounds!H$2:H$25,Rounds!E$2:E$25))</f>
        <v>Curaçao</v>
      </c>
      <c r="K5" s="82" t="e">
        <f>IFERROR(_xlfn.XLOOKUP(J5,Rounds!I$2:I$25,Rounds!J$2:J$25), _xlfn.XLOOKUP(J5,Rounds!L$2:L$25,Rounds!K$2:K$25))</f>
        <v>#N/A</v>
      </c>
      <c r="L5" s="82" t="e">
        <f>IFERROR(_xlfn.XLOOKUP(J5,Rounds!I$2:I$25,Rounds!K$2:K$25), _xlfn.XLOOKUP(J5,Rounds!L$2:L$25,Rounds!J$2:J$25))</f>
        <v>#N/A</v>
      </c>
      <c r="M5" s="134" t="e">
        <f>IFERROR(_xlfn.XLOOKUP(J5,Rounds!I$2:I$25,Rounds!L$2:L$25), _xlfn.XLOOKUP(J5,Rounds!L$2:L$25,Rounds!I$2:I$25))</f>
        <v>#N/A</v>
      </c>
      <c r="O5" s="82" t="e">
        <f>IFERROR(_xlfn.XLOOKUP(N5,Rounds!M$2:M$17,Rounds!N$2:N$17), _xlfn.XLOOKUP(N5,Rounds!P$2:P$17,Rounds!O$2:O$17))</f>
        <v>#N/A</v>
      </c>
      <c r="P5" s="82" t="e">
        <f>IFERROR(_xlfn.XLOOKUP(N5,Rounds!M$2:M$17,Rounds!O$2:O$17), _xlfn.XLOOKUP(N5,Rounds!P$2:P$17,Rounds!N$2:N$17))</f>
        <v>#N/A</v>
      </c>
      <c r="Q5" s="134" t="e">
        <f>IFERROR(_xlfn.XLOOKUP(N5,Rounds!M$2:M$17,Rounds!P$2:P$17), _xlfn.XLOOKUP(N5,Rounds!P$2:P$17,Rounds!M$2:M$17))</f>
        <v>#N/A</v>
      </c>
      <c r="S5" s="82" t="e">
        <f>IFERROR(_xlfn.XLOOKUP(R5,Rounds!Q$2:Q$9,Rounds!R$2:R$9), _xlfn.XLOOKUP(R5,Rounds!T$2:T$9,Rounds!S$2:S$9))</f>
        <v>#N/A</v>
      </c>
      <c r="T5" s="82" t="e">
        <f>IFERROR(_xlfn.XLOOKUP(R5,Rounds!Q$2:Q$9,Rounds!S$2:S$9), _xlfn.XLOOKUP(R5,Rounds!T$2:T$9,Rounds!R$2:R$9))</f>
        <v>#N/A</v>
      </c>
      <c r="U5" s="134" t="e">
        <f>IFERROR(_xlfn.XLOOKUP(R5,Rounds!Q$2:Q$9,Rounds!T$2:T$9), _xlfn.XLOOKUP(R5,Rounds!T$2:T$9,Rounds!Q$2:Q$9))</f>
        <v>#N/A</v>
      </c>
      <c r="W5" s="82" t="e">
        <f>IFERROR(_xlfn.XLOOKUP(V5,Rounds!U$2:U$5,Rounds!V$2:V$5), _xlfn.XLOOKUP(V5,Rounds!X$2:X$5,Rounds!W$2:W$5))</f>
        <v>#N/A</v>
      </c>
      <c r="X5" s="82" t="e">
        <f>IFERROR(_xlfn.XLOOKUP(V5,Rounds!U$2:U$5,Rounds!W$2:W$5), _xlfn.XLOOKUP(V5,Rounds!X$2:X$5,Rounds!V$2:V$5))</f>
        <v>#N/A</v>
      </c>
      <c r="Y5" s="134" t="e">
        <f>IFERROR(_xlfn.XLOOKUP(V5,Rounds!U$2:U$5,Rounds!X$2:X$5), _xlfn.XLOOKUP(V5,Rounds!X$2:X$5,Rounds!U$2:U$5))</f>
        <v>#N/A</v>
      </c>
      <c r="AA5" s="82" t="e">
        <f>IFERROR(_xlfn.XLOOKUP(Z5,Rounds!Y$2:Y$3,Rounds!Z$2:Z$3), _xlfn.XLOOKUP(Z5,Rounds!AB$2:AB$3,Rounds!AA$2:AA$3))</f>
        <v>#N/A</v>
      </c>
      <c r="AB5" s="82" t="e">
        <f>IFERROR(_xlfn.XLOOKUP(Z5,Rounds!Y$2:Y$3,Rounds!AA$2:AA$3), _xlfn.XLOOKUP(Z5,Rounds!AB$2:AB$3,Rounds!Z$2:Z$3))</f>
        <v>#N/A</v>
      </c>
      <c r="AC5" s="134" t="e">
        <f>IFERROR(_xlfn.XLOOKUP(Z5,Rounds!Y$2:Y$3,Rounds!AB$2:AB$3), _xlfn.XLOOKUP(Z5,Rounds!AB$2:AB$3,Rounds!Y$2:Y$3))</f>
        <v>#N/A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e" cm="1">
        <f t="array" ref="AG5">IFERROR(_xlfn.XLOOKUP(AD5,Rounds!AC$2:AC$2,Rounds!AF$2:AF$2), _xlfn.XLOOKUP(AD5,Rounds!AF$2:AF$2,Rounds!AC$2:AC$2))</f>
        <v>#N/A</v>
      </c>
    </row>
    <row r="6" spans="1:33" s="148" customFormat="1" x14ac:dyDescent="0.2">
      <c r="A6" s="145" t="s">
        <v>3702</v>
      </c>
      <c r="B6" s="145" t="s">
        <v>2395</v>
      </c>
      <c r="C6" s="146">
        <f>IFERROR(_xlfn.XLOOKUP(B6,Rounds!A$2:A$25,Rounds!B$2:B$25), _xlfn.XLOOKUP(B6,Rounds!D$2:D$25,Rounds!C$2:C$25))</f>
        <v>4</v>
      </c>
      <c r="D6" s="146">
        <f>IFERROR(_xlfn.XLOOKUP(B6,Rounds!A$2:A$25,Rounds!C$2:C$25), _xlfn.XLOOKUP(B6,Rounds!D$2:D$25,Rounds!B$2:B$25))</f>
        <v>1</v>
      </c>
      <c r="E6" s="147" t="str">
        <f>IFERROR(_xlfn.XLOOKUP(B6,Rounds!A$2:A$25,Rounds!D$2:D$25), _xlfn.XLOOKUP(B6,Rounds!D$2:D$25,Rounds!A$2:A$25))</f>
        <v>Iraq</v>
      </c>
      <c r="F6" s="148" t="s">
        <v>1604</v>
      </c>
      <c r="G6" s="146" t="e">
        <f>IFERROR(_xlfn.XLOOKUP(F6,Rounds!E$2:E$25,Rounds!F$2:F$25), _xlfn.XLOOKUP(F6,Rounds!H$2:H$25,Rounds!G$2:G$25))</f>
        <v>#N/A</v>
      </c>
      <c r="H6" s="146" t="e">
        <f>IFERROR(_xlfn.XLOOKUP(F6,Rounds!E$2:E$25,Rounds!G$2:G$25), _xlfn.XLOOKUP(F6,Rounds!H$2:H$25,Rounds!F$2:F$25))</f>
        <v>#N/A</v>
      </c>
      <c r="I6" s="147" t="str">
        <f>IFERROR(_xlfn.XLOOKUP(F6,Rounds!E$2:E$25,Rounds!H$2:H$25), _xlfn.XLOOKUP(F6,Rounds!H$2:H$25,Rounds!E$2:E$25))</f>
        <v>Tunisia</v>
      </c>
      <c r="K6" s="146" t="e">
        <f>IFERROR(_xlfn.XLOOKUP(J6,Rounds!I$2:I$25,Rounds!J$2:J$25), _xlfn.XLOOKUP(J6,Rounds!L$2:L$25,Rounds!K$2:K$25))</f>
        <v>#N/A</v>
      </c>
      <c r="L6" s="146" t="e">
        <f>IFERROR(_xlfn.XLOOKUP(J6,Rounds!I$2:I$25,Rounds!K$2:K$25), _xlfn.XLOOKUP(J6,Rounds!L$2:L$25,Rounds!J$2:J$25))</f>
        <v>#N/A</v>
      </c>
      <c r="M6" s="147" t="e">
        <f>IFERROR(_xlfn.XLOOKUP(J6,Rounds!I$2:I$25,Rounds!L$2:L$25), _xlfn.XLOOKUP(J6,Rounds!L$2:L$25,Rounds!I$2:I$25))</f>
        <v>#N/A</v>
      </c>
      <c r="O6" s="146" t="e">
        <f>IFERROR(_xlfn.XLOOKUP(N6,Rounds!M$2:M$17,Rounds!N$2:N$17), _xlfn.XLOOKUP(N6,Rounds!P$2:P$17,Rounds!O$2:O$17))</f>
        <v>#N/A</v>
      </c>
      <c r="P6" s="146" t="e">
        <f>IFERROR(_xlfn.XLOOKUP(N6,Rounds!M$2:M$17,Rounds!O$2:O$17), _xlfn.XLOOKUP(N6,Rounds!P$2:P$17,Rounds!N$2:N$17))</f>
        <v>#N/A</v>
      </c>
      <c r="Q6" s="147" t="e">
        <f>IFERROR(_xlfn.XLOOKUP(N6,Rounds!M$2:M$17,Rounds!P$2:P$17), _xlfn.XLOOKUP(N6,Rounds!P$2:P$17,Rounds!M$2:M$17))</f>
        <v>#N/A</v>
      </c>
      <c r="S6" s="146" t="e">
        <f>IFERROR(_xlfn.XLOOKUP(R6,Rounds!Q$2:Q$9,Rounds!R$2:R$9), _xlfn.XLOOKUP(R6,Rounds!T$2:T$9,Rounds!S$2:S$9))</f>
        <v>#N/A</v>
      </c>
      <c r="T6" s="146" t="e">
        <f>IFERROR(_xlfn.XLOOKUP(R6,Rounds!Q$2:Q$9,Rounds!S$2:S$9), _xlfn.XLOOKUP(R6,Rounds!T$2:T$9,Rounds!R$2:R$9))</f>
        <v>#N/A</v>
      </c>
      <c r="U6" s="147" t="e">
        <f>IFERROR(_xlfn.XLOOKUP(R6,Rounds!Q$2:Q$9,Rounds!T$2:T$9), _xlfn.XLOOKUP(R6,Rounds!T$2:T$9,Rounds!Q$2:Q$9))</f>
        <v>#N/A</v>
      </c>
      <c r="W6" s="146" t="e">
        <f>IFERROR(_xlfn.XLOOKUP(V6,Rounds!U$2:U$5,Rounds!V$2:V$5), _xlfn.XLOOKUP(V6,Rounds!X$2:X$5,Rounds!W$2:W$5))</f>
        <v>#N/A</v>
      </c>
      <c r="X6" s="146" t="e">
        <f>IFERROR(_xlfn.XLOOKUP(V6,Rounds!U$2:U$5,Rounds!W$2:W$5), _xlfn.XLOOKUP(V6,Rounds!X$2:X$5,Rounds!V$2:V$5))</f>
        <v>#N/A</v>
      </c>
      <c r="Y6" s="147" t="e">
        <f>IFERROR(_xlfn.XLOOKUP(V6,Rounds!U$2:U$5,Rounds!X$2:X$5), _xlfn.XLOOKUP(V6,Rounds!X$2:X$5,Rounds!U$2:U$5))</f>
        <v>#N/A</v>
      </c>
      <c r="AA6" s="146" t="e">
        <f>IFERROR(_xlfn.XLOOKUP(Z6,Rounds!Y$2:Y$3,Rounds!Z$2:Z$3), _xlfn.XLOOKUP(Z6,Rounds!AB$2:AB$3,Rounds!AA$2:AA$3))</f>
        <v>#N/A</v>
      </c>
      <c r="AB6" s="146" t="e">
        <f>IFERROR(_xlfn.XLOOKUP(Z6,Rounds!Y$2:Y$3,Rounds!AA$2:AA$3), _xlfn.XLOOKUP(Z6,Rounds!AB$2:AB$3,Rounds!Z$2:Z$3))</f>
        <v>#N/A</v>
      </c>
      <c r="AC6" s="147" t="e">
        <f>IFERROR(_xlfn.XLOOKUP(Z6,Rounds!Y$2:Y$3,Rounds!AB$2:AB$3), _xlfn.XLOOKUP(Z6,Rounds!AB$2:AB$3,Rounds!Y$2:Y$3))</f>
        <v>#N/A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e" cm="1">
        <f t="array" ref="AG6">IFERROR(_xlfn.XLOOKUP(AD6,Rounds!AC$2:AC$2,Rounds!AF$2:AF$2), _xlfn.XLOOKUP(AD6,Rounds!AF$2:AF$2,Rounds!AC$2:AC$2))</f>
        <v>#N/A</v>
      </c>
    </row>
    <row r="7" spans="1:33" x14ac:dyDescent="0.2">
      <c r="A7" s="132" t="s">
        <v>3703</v>
      </c>
      <c r="B7" s="132" t="s">
        <v>1798</v>
      </c>
      <c r="C7" s="82">
        <f>IFERROR(_xlfn.XLOOKUP(B7,Rounds!A$2:A$25,Rounds!B$2:B$25), _xlfn.XLOOKUP(B7,Rounds!D$2:D$25,Rounds!C$2:C$25))</f>
        <v>1</v>
      </c>
      <c r="D7" s="82">
        <f>IFERROR(_xlfn.XLOOKUP(B7,Rounds!A$2:A$25,Rounds!C$2:C$25), _xlfn.XLOOKUP(B7,Rounds!D$2:D$25,Rounds!B$2:B$25))</f>
        <v>1</v>
      </c>
      <c r="E7" s="134" t="str">
        <f>IFERROR(_xlfn.XLOOKUP(B7,Rounds!A$2:A$25,Rounds!D$2:D$25), _xlfn.XLOOKUP(B7,Rounds!D$2:D$25,Rounds!A$2:A$25))</f>
        <v>Qatar</v>
      </c>
      <c r="F7" t="s">
        <v>2274</v>
      </c>
      <c r="G7" s="82" t="e">
        <f>IFERROR(_xlfn.XLOOKUP(F7,Rounds!E$2:E$25,Rounds!F$2:F$25), _xlfn.XLOOKUP(F7,Rounds!H$2:H$25,Rounds!G$2:G$25))</f>
        <v>#N/A</v>
      </c>
      <c r="H7" s="82" t="e">
        <f>IFERROR(_xlfn.XLOOKUP(F7,Rounds!E$2:E$25,Rounds!G$2:G$25), _xlfn.XLOOKUP(F7,Rounds!H$2:H$25,Rounds!F$2:F$25))</f>
        <v>#N/A</v>
      </c>
      <c r="I7" s="134" t="str">
        <f>IFERROR(_xlfn.XLOOKUP(F7,Rounds!E$2:E$25,Rounds!H$2:H$25), _xlfn.XLOOKUP(F7,Rounds!H$2:H$25,Rounds!E$2:E$25))</f>
        <v>New Zealand</v>
      </c>
      <c r="K7" s="82" t="e">
        <f>IFERROR(_xlfn.XLOOKUP(J7,Rounds!I$2:I$25,Rounds!J$2:J$25), _xlfn.XLOOKUP(J7,Rounds!L$2:L$25,Rounds!K$2:K$25))</f>
        <v>#N/A</v>
      </c>
      <c r="L7" s="82" t="e">
        <f>IFERROR(_xlfn.XLOOKUP(J7,Rounds!I$2:I$25,Rounds!K$2:K$25), _xlfn.XLOOKUP(J7,Rounds!L$2:L$25,Rounds!J$2:J$25))</f>
        <v>#N/A</v>
      </c>
      <c r="M7" s="134" t="e">
        <f>IFERROR(_xlfn.XLOOKUP(J7,Rounds!I$2:I$25,Rounds!L$2:L$25), _xlfn.XLOOKUP(J7,Rounds!L$2:L$25,Rounds!I$2:I$25))</f>
        <v>#N/A</v>
      </c>
      <c r="O7" s="82" t="e">
        <f>IFERROR(_xlfn.XLOOKUP(N7,Rounds!M$2:M$17,Rounds!N$2:N$17), _xlfn.XLOOKUP(N7,Rounds!P$2:P$17,Rounds!O$2:O$17))</f>
        <v>#N/A</v>
      </c>
      <c r="P7" s="82" t="e">
        <f>IFERROR(_xlfn.XLOOKUP(N7,Rounds!M$2:M$17,Rounds!O$2:O$17), _xlfn.XLOOKUP(N7,Rounds!P$2:P$17,Rounds!N$2:N$17))</f>
        <v>#N/A</v>
      </c>
      <c r="Q7" s="134" t="e">
        <f>IFERROR(_xlfn.XLOOKUP(N7,Rounds!M$2:M$17,Rounds!P$2:P$17), _xlfn.XLOOKUP(N7,Rounds!P$2:P$17,Rounds!M$2:M$17))</f>
        <v>#N/A</v>
      </c>
      <c r="S7" s="82" t="e">
        <f>IFERROR(_xlfn.XLOOKUP(R7,Rounds!Q$2:Q$9,Rounds!R$2:R$9), _xlfn.XLOOKUP(R7,Rounds!T$2:T$9,Rounds!S$2:S$9))</f>
        <v>#N/A</v>
      </c>
      <c r="T7" s="82" t="e">
        <f>IFERROR(_xlfn.XLOOKUP(R7,Rounds!Q$2:Q$9,Rounds!S$2:S$9), _xlfn.XLOOKUP(R7,Rounds!T$2:T$9,Rounds!R$2:R$9))</f>
        <v>#N/A</v>
      </c>
      <c r="U7" s="134" t="e">
        <f>IFERROR(_xlfn.XLOOKUP(R7,Rounds!Q$2:Q$9,Rounds!T$2:T$9), _xlfn.XLOOKUP(R7,Rounds!T$2:T$9,Rounds!Q$2:Q$9))</f>
        <v>#N/A</v>
      </c>
      <c r="W7" s="82" t="e">
        <f>IFERROR(_xlfn.XLOOKUP(V7,Rounds!U$2:U$5,Rounds!V$2:V$5), _xlfn.XLOOKUP(V7,Rounds!X$2:X$5,Rounds!W$2:W$5))</f>
        <v>#N/A</v>
      </c>
      <c r="X7" s="82" t="e">
        <f>IFERROR(_xlfn.XLOOKUP(V7,Rounds!U$2:U$5,Rounds!W$2:W$5), _xlfn.XLOOKUP(V7,Rounds!X$2:X$5,Rounds!V$2:V$5))</f>
        <v>#N/A</v>
      </c>
      <c r="Y7" s="134" t="e">
        <f>IFERROR(_xlfn.XLOOKUP(V7,Rounds!U$2:U$5,Rounds!X$2:X$5), _xlfn.XLOOKUP(V7,Rounds!X$2:X$5,Rounds!U$2:U$5))</f>
        <v>#N/A</v>
      </c>
      <c r="AA7" s="82" t="e">
        <f>IFERROR(_xlfn.XLOOKUP(Z7,Rounds!Y$2:Y$3,Rounds!Z$2:Z$3), _xlfn.XLOOKUP(Z7,Rounds!AB$2:AB$3,Rounds!AA$2:AA$3))</f>
        <v>#N/A</v>
      </c>
      <c r="AB7" s="82" t="e">
        <f>IFERROR(_xlfn.XLOOKUP(Z7,Rounds!Y$2:Y$3,Rounds!AA$2:AA$3), _xlfn.XLOOKUP(Z7,Rounds!AB$2:AB$3,Rounds!Z$2:Z$3))</f>
        <v>#N/A</v>
      </c>
      <c r="AC7" s="134" t="e">
        <f>IFERROR(_xlfn.XLOOKUP(Z7,Rounds!Y$2:Y$3,Rounds!AB$2:AB$3), _xlfn.XLOOKUP(Z7,Rounds!AB$2:AB$3,Rounds!Y$2:Y$3))</f>
        <v>#N/A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>
        <f>IFERROR(_xlfn.XLOOKUP(B8,Rounds!A$2:A$25,Rounds!B$2:B$25), _xlfn.XLOOKUP(B8,Rounds!D$2:D$25,Rounds!C$2:C$25))</f>
        <v>1</v>
      </c>
      <c r="D8" s="150">
        <f>IFERROR(_xlfn.XLOOKUP(B8,Rounds!A$2:A$25,Rounds!C$2:C$25), _xlfn.XLOOKUP(B8,Rounds!D$2:D$25,Rounds!B$2:B$25))</f>
        <v>1</v>
      </c>
      <c r="E8" s="151" t="str">
        <f>IFERROR(_xlfn.XLOOKUP(B8,Rounds!A$2:A$25,Rounds!D$2:D$25), _xlfn.XLOOKUP(B8,Rounds!D$2:D$25,Rounds!A$2:A$25))</f>
        <v>Qatar</v>
      </c>
      <c r="F8" s="152" t="s">
        <v>1093</v>
      </c>
      <c r="G8" s="150" t="e">
        <f>IFERROR(_xlfn.XLOOKUP(F8,Rounds!E$2:E$25,Rounds!F$2:F$25), _xlfn.XLOOKUP(F8,Rounds!H$2:H$25,Rounds!G$2:G$25))</f>
        <v>#N/A</v>
      </c>
      <c r="H8" s="150" t="e">
        <f>IFERROR(_xlfn.XLOOKUP(F8,Rounds!E$2:E$25,Rounds!G$2:G$25), _xlfn.XLOOKUP(F8,Rounds!H$2:H$25,Rounds!F$2:F$25))</f>
        <v>#N/A</v>
      </c>
      <c r="I8" s="151" t="str">
        <f>IFERROR(_xlfn.XLOOKUP(F8,Rounds!E$2:E$25,Rounds!H$2:H$25), _xlfn.XLOOKUP(F8,Rounds!H$2:H$25,Rounds!E$2:E$25))</f>
        <v>Curaçao</v>
      </c>
      <c r="J8" s="152"/>
      <c r="K8" s="150" t="e">
        <f>IFERROR(_xlfn.XLOOKUP(J8,Rounds!I$2:I$25,Rounds!J$2:J$25), _xlfn.XLOOKUP(J8,Rounds!L$2:L$25,Rounds!K$2:K$25))</f>
        <v>#N/A</v>
      </c>
      <c r="L8" s="150" t="e">
        <f>IFERROR(_xlfn.XLOOKUP(J8,Rounds!I$2:I$25,Rounds!K$2:K$25), _xlfn.XLOOKUP(J8,Rounds!L$2:L$25,Rounds!J$2:J$25))</f>
        <v>#N/A</v>
      </c>
      <c r="M8" s="151" t="e">
        <f>IFERROR(_xlfn.XLOOKUP(J8,Rounds!I$2:I$25,Rounds!L$2:L$25), _xlfn.XLOOKUP(J8,Rounds!L$2:L$25,Rounds!I$2:I$25))</f>
        <v>#N/A</v>
      </c>
      <c r="N8" s="152"/>
      <c r="O8" s="150" t="e">
        <f>IFERROR(_xlfn.XLOOKUP(N8,Rounds!M$2:M$17,Rounds!N$2:N$17), _xlfn.XLOOKUP(N8,Rounds!P$2:P$17,Rounds!O$2:O$17))</f>
        <v>#N/A</v>
      </c>
      <c r="P8" s="150" t="e">
        <f>IFERROR(_xlfn.XLOOKUP(N8,Rounds!M$2:M$17,Rounds!O$2:O$17), _xlfn.XLOOKUP(N8,Rounds!P$2:P$17,Rounds!N$2:N$17))</f>
        <v>#N/A</v>
      </c>
      <c r="Q8" s="151" t="e">
        <f>IFERROR(_xlfn.XLOOKUP(N8,Rounds!M$2:M$17,Rounds!P$2:P$17), _xlfn.XLOOKUP(N8,Rounds!P$2:P$17,Rounds!M$2:M$17))</f>
        <v>#N/A</v>
      </c>
      <c r="R8" s="152"/>
      <c r="S8" s="150" t="e">
        <f>IFERROR(_xlfn.XLOOKUP(R8,Rounds!Q$2:Q$9,Rounds!R$2:R$9), _xlfn.XLOOKUP(R8,Rounds!T$2:T$9,Rounds!S$2:S$9))</f>
        <v>#N/A</v>
      </c>
      <c r="T8" s="150" t="e">
        <f>IFERROR(_xlfn.XLOOKUP(R8,Rounds!Q$2:Q$9,Rounds!S$2:S$9), _xlfn.XLOOKUP(R8,Rounds!T$2:T$9,Rounds!R$2:R$9))</f>
        <v>#N/A</v>
      </c>
      <c r="U8" s="151" t="e">
        <f>IFERROR(_xlfn.XLOOKUP(R8,Rounds!Q$2:Q$9,Rounds!T$2:T$9), _xlfn.XLOOKUP(R8,Rounds!T$2:T$9,Rounds!Q$2:Q$9))</f>
        <v>#N/A</v>
      </c>
      <c r="V8" s="152"/>
      <c r="W8" s="150" t="e">
        <f>IFERROR(_xlfn.XLOOKUP(V8,Rounds!U$2:U$5,Rounds!V$2:V$5), _xlfn.XLOOKUP(V8,Rounds!X$2:X$5,Rounds!W$2:W$5))</f>
        <v>#N/A</v>
      </c>
      <c r="X8" s="150" t="e">
        <f>IFERROR(_xlfn.XLOOKUP(V8,Rounds!U$2:U$5,Rounds!W$2:W$5), _xlfn.XLOOKUP(V8,Rounds!X$2:X$5,Rounds!V$2:V$5))</f>
        <v>#N/A</v>
      </c>
      <c r="Y8" s="151" t="e">
        <f>IFERROR(_xlfn.XLOOKUP(V8,Rounds!U$2:U$5,Rounds!X$2:X$5), _xlfn.XLOOKUP(V8,Rounds!X$2:X$5,Rounds!U$2:U$5))</f>
        <v>#N/A</v>
      </c>
      <c r="Z8" s="152"/>
      <c r="AA8" s="150" t="e">
        <f>IFERROR(_xlfn.XLOOKUP(Z8,Rounds!Y$2:Y$3,Rounds!Z$2:Z$3), _xlfn.XLOOKUP(Z8,Rounds!AB$2:AB$3,Rounds!AA$2:AA$3))</f>
        <v>#N/A</v>
      </c>
      <c r="AB8" s="150" t="e">
        <f>IFERROR(_xlfn.XLOOKUP(Z8,Rounds!Y$2:Y$3,Rounds!AA$2:AA$3), _xlfn.XLOOKUP(Z8,Rounds!AB$2:AB$3,Rounds!Z$2:Z$3))</f>
        <v>#N/A</v>
      </c>
      <c r="AC8" s="151" t="e">
        <f>IFERROR(_xlfn.XLOOKUP(Z8,Rounds!Y$2:Y$3,Rounds!AB$2:AB$3), _xlfn.XLOOKUP(Z8,Rounds!AB$2:AB$3,Rounds!Y$2:Y$3))</f>
        <v>#N/A</v>
      </c>
      <c r="AD8" s="152"/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e" cm="1">
        <f t="array" ref="AG8">IFERROR(_xlfn.XLOOKUP(AD8,Rounds!AC$2:AC$2,Rounds!AF$2:AF$2), _xlfn.XLOOKUP(AD8,Rounds!AF$2:AF$2,Rounds!AC$2:AC$2))</f>
        <v>#N/A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zoomScaleNormal="100" workbookViewId="0">
      <selection activeCell="Y24" sqref="Y24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60" t="s">
        <v>3705</v>
      </c>
      <c r="B1" s="161"/>
      <c r="C1" s="161"/>
      <c r="D1" s="162"/>
      <c r="E1" s="160" t="s">
        <v>3706</v>
      </c>
      <c r="F1" s="161"/>
      <c r="G1" s="161"/>
      <c r="H1" s="162"/>
      <c r="I1" s="160" t="s">
        <v>3707</v>
      </c>
      <c r="J1" s="161"/>
      <c r="K1" s="161"/>
      <c r="L1" s="162"/>
      <c r="M1" s="160" t="s">
        <v>3708</v>
      </c>
      <c r="N1" s="161"/>
      <c r="O1" s="161"/>
      <c r="P1" s="162"/>
      <c r="Q1" s="160" t="s">
        <v>3709</v>
      </c>
      <c r="R1" s="161"/>
      <c r="S1" s="161"/>
      <c r="T1" s="162"/>
      <c r="U1" s="160" t="s">
        <v>3710</v>
      </c>
      <c r="V1" s="161"/>
      <c r="W1" s="161"/>
      <c r="X1" s="162"/>
      <c r="Y1" s="160" t="s">
        <v>3711</v>
      </c>
      <c r="Z1" s="161"/>
      <c r="AA1" s="161"/>
      <c r="AB1" s="162"/>
      <c r="AC1" s="160" t="s">
        <v>3712</v>
      </c>
      <c r="AD1" s="161"/>
      <c r="AE1" s="161"/>
      <c r="AF1" s="162"/>
    </row>
    <row r="2" spans="1:32" x14ac:dyDescent="0.2">
      <c r="A2" s="132" t="str" cm="1">
        <f t="array" ref="A2:D25">IF('2026 World Cup'!E7:H30="",NA(),'2026 World Cup'!E7:H30)</f>
        <v>Mexico</v>
      </c>
      <c r="B2" s="81">
        <v>2</v>
      </c>
      <c r="C2" s="81">
        <v>0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>
        <v>1</v>
      </c>
      <c r="G2" s="81">
        <v>1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 t="e">
        <v>#N/A</v>
      </c>
      <c r="K2" s="81" t="e">
        <v>#N/A</v>
      </c>
      <c r="L2" s="134" t="str">
        <v>Brazil</v>
      </c>
      <c r="M2" s="132" t="str">
        <f>IF('2026 World Cup'!BL10="",NA(),'2026 World Cup'!BL10)</f>
        <v>1E</v>
      </c>
      <c r="N2" s="81" t="e">
        <f>IF('2026 World Cup'!$BM10="",NA(),'2026 World Cup'!$BM10)</f>
        <v>#N/A</v>
      </c>
      <c r="O2" s="81" t="e">
        <f>IF('2026 World Cup'!$BM11="",NA(),'2026 World Cup'!$BM11)</f>
        <v>#N/A</v>
      </c>
      <c r="P2" s="134" t="str">
        <f>'2026 World Cup'!BL11</f>
        <v>3rd Group A/B/C/D/F</v>
      </c>
      <c r="Q2" s="132" t="str">
        <f>'2026 World Cup'!BS12</f>
        <v/>
      </c>
      <c r="R2" s="81" t="e">
        <f>IF('2026 World Cup'!$BT12="",NA(),'2026 World Cup'!$BT12)</f>
        <v>#N/A</v>
      </c>
      <c r="S2" s="81" t="e">
        <f>IF('2026 World Cup'!$BT13="",NA(),'2026 World Cup'!$BT13)</f>
        <v>#N/A</v>
      </c>
      <c r="T2" s="134" t="str">
        <f>'2026 World Cup'!BS13</f>
        <v/>
      </c>
      <c r="U2" s="132" t="str">
        <f>'2026 World Cup'!BZ16</f>
        <v/>
      </c>
      <c r="V2" s="81" t="e">
        <f>IF('2026 World Cup'!$CA16="",NA(),'2026 World Cup'!$CA16)</f>
        <v>#N/A</v>
      </c>
      <c r="W2" s="81" t="e">
        <f>IF('2026 World Cup'!$CA17="",NA(),'2026 World Cup'!$CA17)</f>
        <v>#N/A</v>
      </c>
      <c r="X2" s="134" t="str">
        <f>'2026 World Cup'!BZ17</f>
        <v/>
      </c>
      <c r="Y2" s="132" t="str">
        <f>'2026 World Cup'!CG23</f>
        <v/>
      </c>
      <c r="Z2" s="81" t="e">
        <f>IF('2026 World Cup'!$CH23="",NA(),'2026 World Cup'!$CH23)</f>
        <v>#N/A</v>
      </c>
      <c r="AA2" s="81" t="e">
        <f>IF('2026 World Cup'!$CH24="",NA(),'2026 World Cup'!$CH24)</f>
        <v>#N/A</v>
      </c>
      <c r="AB2" s="134" t="str">
        <f>'2026 World Cup'!CG24</f>
        <v/>
      </c>
      <c r="AC2" s="135" t="str">
        <f>'2026 World Cup'!CN37</f>
        <v/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/>
      </c>
    </row>
    <row r="3" spans="1:32" x14ac:dyDescent="0.2">
      <c r="A3" s="132" t="str">
        <v>Korea Republic</v>
      </c>
      <c r="B3" s="81">
        <v>2</v>
      </c>
      <c r="C3" s="81">
        <v>1</v>
      </c>
      <c r="D3" s="134" t="str">
        <v>Czech Republic</v>
      </c>
      <c r="E3" s="132" t="str">
        <v>Switzerland</v>
      </c>
      <c r="F3" s="81">
        <v>4</v>
      </c>
      <c r="G3" s="81">
        <v>1</v>
      </c>
      <c r="H3" s="134" t="str">
        <v>Bosnia and Herzegovina</v>
      </c>
      <c r="I3" s="132" t="str">
        <v>Morocco</v>
      </c>
      <c r="J3" s="81" t="e">
        <v>#N/A</v>
      </c>
      <c r="K3" s="81" t="e">
        <v>#N/A</v>
      </c>
      <c r="L3" s="134" t="str">
        <v>Haiti</v>
      </c>
      <c r="M3" s="132" t="str">
        <f>'2026 World Cup'!BL14</f>
        <v>1I</v>
      </c>
      <c r="N3" s="81" t="e">
        <f>IF('2026 World Cup'!$BM14="",NA(),'2026 World Cup'!$BM14)</f>
        <v>#N/A</v>
      </c>
      <c r="O3" s="81" t="e">
        <f>IF('2026 World Cup'!$BM15="",NA(),'2026 World Cup'!$BM15)</f>
        <v>#N/A</v>
      </c>
      <c r="P3" s="134" t="str">
        <f>'2026 World Cup'!BL15</f>
        <v>3rd Group C/D/F/G/H</v>
      </c>
      <c r="Q3" s="132" t="str">
        <f>'2026 World Cup'!BS20</f>
        <v/>
      </c>
      <c r="R3" s="81" t="e">
        <f>IF('2026 World Cup'!$BT20="",NA(),'2026 World Cup'!$BT20)</f>
        <v>#N/A</v>
      </c>
      <c r="S3" s="81" t="e">
        <f>IF('2026 World Cup'!$BT21="",NA(),'2026 World Cup'!$BT21)</f>
        <v>#N/A</v>
      </c>
      <c r="T3" s="134" t="str">
        <f>'2026 World Cup'!BS21</f>
        <v/>
      </c>
      <c r="U3" s="132" t="str">
        <f>'2026 World Cup'!BZ32</f>
        <v/>
      </c>
      <c r="V3" s="81" t="e">
        <f>IF('2026 World Cup'!$CA32="",NA(),'2026 World Cup'!$CA32)</f>
        <v>#N/A</v>
      </c>
      <c r="W3" s="81" t="e">
        <f>IF('2026 World Cup'!$CA33="",NA(),'2026 World Cup'!$CA33)</f>
        <v>#N/A</v>
      </c>
      <c r="X3" s="134" t="str">
        <f>'2026 World Cup'!BZ33</f>
        <v/>
      </c>
      <c r="Y3" s="135" t="str">
        <f>'2026 World Cup'!CG55</f>
        <v/>
      </c>
      <c r="Z3" s="153" t="e">
        <f>IF('2026 World Cup'!$CH55="",NA(),'2026 World Cup'!$CH55)</f>
        <v>#N/A</v>
      </c>
      <c r="AA3" s="153" t="e">
        <f>IF('2026 World Cup'!$CH56="",NA(),'2026 World Cup'!$CH56)</f>
        <v>#N/A</v>
      </c>
      <c r="AB3" s="136" t="str">
        <f>'2026 World Cup'!CG56</f>
        <v/>
      </c>
    </row>
    <row r="4" spans="1:32" x14ac:dyDescent="0.2">
      <c r="A4" s="132" t="str">
        <v>Canada</v>
      </c>
      <c r="B4" s="81">
        <v>1</v>
      </c>
      <c r="C4" s="81">
        <v>1</v>
      </c>
      <c r="D4" s="134" t="str">
        <v>Bosnia and Herzegovina</v>
      </c>
      <c r="E4" s="132" t="str">
        <v>Canada</v>
      </c>
      <c r="F4" s="81">
        <v>6</v>
      </c>
      <c r="G4" s="81">
        <v>0</v>
      </c>
      <c r="H4" s="134" t="str">
        <v>Qatar</v>
      </c>
      <c r="I4" s="132" t="str">
        <v>Switzerland</v>
      </c>
      <c r="J4" s="81" t="e">
        <v>#N/A</v>
      </c>
      <c r="K4" s="81" t="e">
        <v>#N/A</v>
      </c>
      <c r="L4" s="134" t="str">
        <v>Canada</v>
      </c>
      <c r="M4" s="132" t="str">
        <f>'2026 World Cup'!BL18</f>
        <v>2A</v>
      </c>
      <c r="N4" s="81" t="e">
        <f>IF('2026 World Cup'!$BM18="",NA(),'2026 World Cup'!$BM18)</f>
        <v>#N/A</v>
      </c>
      <c r="O4" s="81" t="e">
        <f>IF('2026 World Cup'!$BM19="",NA(),'2026 World Cup'!$BM19)</f>
        <v>#N/A</v>
      </c>
      <c r="P4" s="134" t="str">
        <f>'2026 World Cup'!BL19</f>
        <v>2B</v>
      </c>
      <c r="Q4" s="132" t="str">
        <f>'2026 World Cup'!BS28</f>
        <v/>
      </c>
      <c r="R4" s="81" t="e">
        <f>IF('2026 World Cup'!$BT28="",NA(),'2026 World Cup'!$BT28)</f>
        <v>#N/A</v>
      </c>
      <c r="S4" s="81" t="e">
        <f>IF('2026 World Cup'!$BT29="",NA(),'2026 World Cup'!$BT29)</f>
        <v>#N/A</v>
      </c>
      <c r="T4" s="134" t="str">
        <f>'2026 World Cup'!BS29</f>
        <v/>
      </c>
      <c r="U4" s="132" t="str">
        <f>'2026 World Cup'!BZ48</f>
        <v/>
      </c>
      <c r="V4" s="81" t="e">
        <f>IF('2026 World Cup'!$CA48="",NA(),'2026 World Cup'!$CA48)</f>
        <v>#N/A</v>
      </c>
      <c r="W4" s="81" t="e">
        <f>IF('2026 World Cup'!$CA49="",NA(),'2026 World Cup'!$CA49)</f>
        <v>#N/A</v>
      </c>
      <c r="X4" s="134" t="str">
        <f>'2026 World Cup'!BZ49</f>
        <v/>
      </c>
    </row>
    <row r="5" spans="1:32" x14ac:dyDescent="0.2">
      <c r="A5" s="132" t="str">
        <v>United States</v>
      </c>
      <c r="B5" s="81">
        <v>4</v>
      </c>
      <c r="C5" s="81">
        <v>1</v>
      </c>
      <c r="D5" s="134" t="str">
        <v>Paraguay</v>
      </c>
      <c r="E5" s="132" t="str">
        <v>Mexico</v>
      </c>
      <c r="F5" s="81">
        <v>1</v>
      </c>
      <c r="G5" s="81">
        <v>0</v>
      </c>
      <c r="H5" s="134" t="str">
        <v>Korea Republic</v>
      </c>
      <c r="I5" s="132" t="str">
        <v>Bosnia and Herzegovina</v>
      </c>
      <c r="J5" s="81" t="e">
        <v>#N/A</v>
      </c>
      <c r="K5" s="81" t="e">
        <v>#N/A</v>
      </c>
      <c r="L5" s="134" t="str">
        <v>Qatar</v>
      </c>
      <c r="M5" s="132" t="str">
        <f>'2026 World Cup'!BL22</f>
        <v>1F</v>
      </c>
      <c r="N5" s="81" t="e">
        <f>IF('2026 World Cup'!$BM22="",NA(),'2026 World Cup'!$BM22)</f>
        <v>#N/A</v>
      </c>
      <c r="O5" s="81" t="e">
        <f>IF('2026 World Cup'!$BM23="",NA(),'2026 World Cup'!$BM23)</f>
        <v>#N/A</v>
      </c>
      <c r="P5" s="134" t="str">
        <f>'2026 World Cup'!BL23</f>
        <v>2C</v>
      </c>
      <c r="Q5" s="132" t="str">
        <f>'2026 World Cup'!BS36</f>
        <v/>
      </c>
      <c r="R5" s="81" t="e">
        <f>IF('2026 World Cup'!$BT36="",NA(),'2026 World Cup'!$BT36)</f>
        <v>#N/A</v>
      </c>
      <c r="S5" s="81" t="e">
        <f>IF('2026 World Cup'!$BT37="",NA(),'2026 World Cup'!$BT37)</f>
        <v>#N/A</v>
      </c>
      <c r="T5" s="134" t="str">
        <f>'2026 World Cup'!BS37</f>
        <v/>
      </c>
      <c r="U5" s="135" t="str">
        <f>'2026 World Cup'!BZ64</f>
        <v/>
      </c>
      <c r="V5" s="153" t="e">
        <f>IF('2026 World Cup'!$CA64="",NA(),'2026 World Cup'!$CA64)</f>
        <v>#N/A</v>
      </c>
      <c r="W5" s="153" t="e">
        <f>IF('2026 World Cup'!$CA65="",NA(),'2026 World Cup'!$CA65)</f>
        <v>#N/A</v>
      </c>
      <c r="X5" s="136" t="str">
        <f>'2026 World Cup'!BZ65</f>
        <v/>
      </c>
    </row>
    <row r="6" spans="1:32" x14ac:dyDescent="0.2">
      <c r="A6" s="132" t="str">
        <v>Haiti</v>
      </c>
      <c r="B6" s="81">
        <v>0</v>
      </c>
      <c r="C6" s="81">
        <v>1</v>
      </c>
      <c r="D6" s="134" t="str">
        <v>Scotland</v>
      </c>
      <c r="E6" s="132" t="str">
        <v>Brazil</v>
      </c>
      <c r="F6" s="81" t="e">
        <v>#N/A</v>
      </c>
      <c r="G6" s="81" t="e">
        <v>#N/A</v>
      </c>
      <c r="H6" s="134" t="str">
        <v>Haiti</v>
      </c>
      <c r="I6" s="132" t="str">
        <v>Czech Republic</v>
      </c>
      <c r="J6" s="81" t="e">
        <v>#N/A</v>
      </c>
      <c r="K6" s="81" t="e">
        <v>#N/A</v>
      </c>
      <c r="L6" s="134" t="str">
        <v>Mexico</v>
      </c>
      <c r="M6" s="132" t="str">
        <f>'2026 World Cup'!BL26</f>
        <v>2K</v>
      </c>
      <c r="N6" s="81" t="e">
        <f>IF('2026 World Cup'!$BM26="",NA(),'2026 World Cup'!$BM26)</f>
        <v>#N/A</v>
      </c>
      <c r="O6" s="81" t="e">
        <f>IF('2026 World Cup'!$BM27="",NA(),'2026 World Cup'!$BM27)</f>
        <v>#N/A</v>
      </c>
      <c r="P6" s="134" t="str">
        <f>'2026 World Cup'!BL27</f>
        <v>2L</v>
      </c>
      <c r="Q6" s="132" t="str">
        <f>'2026 World Cup'!BS44</f>
        <v/>
      </c>
      <c r="R6" s="81" t="e">
        <f>IF('2026 World Cup'!$BT44="",NA(),'2026 World Cup'!$BT44)</f>
        <v>#N/A</v>
      </c>
      <c r="S6" s="81" t="e">
        <f>IF('2026 World Cup'!$BT45="",NA(),'2026 World Cup'!$BT45)</f>
        <v>#N/A</v>
      </c>
      <c r="T6" s="134" t="str">
        <f>'2026 World Cup'!BS45</f>
        <v/>
      </c>
    </row>
    <row r="7" spans="1:32" x14ac:dyDescent="0.2">
      <c r="A7" s="132" t="str">
        <v>Australia</v>
      </c>
      <c r="B7" s="81">
        <v>2</v>
      </c>
      <c r="C7" s="81">
        <v>0</v>
      </c>
      <c r="D7" s="134" t="str">
        <v>Turkey</v>
      </c>
      <c r="E7" s="132" t="str">
        <v>Scotland</v>
      </c>
      <c r="F7" s="81" t="e">
        <v>#N/A</v>
      </c>
      <c r="G7" s="81" t="e">
        <v>#N/A</v>
      </c>
      <c r="H7" s="134" t="str">
        <v>Morocco</v>
      </c>
      <c r="I7" s="132" t="str">
        <v>South Africa</v>
      </c>
      <c r="J7" s="81" t="e">
        <v>#N/A</v>
      </c>
      <c r="K7" s="81" t="e">
        <v>#N/A</v>
      </c>
      <c r="L7" s="134" t="str">
        <v>Korea Republic</v>
      </c>
      <c r="M7" s="132" t="str">
        <f>'2026 World Cup'!BL30</f>
        <v>1H</v>
      </c>
      <c r="N7" s="81" t="e">
        <f>IF('2026 World Cup'!$BM30="",NA(),'2026 World Cup'!$BM30)</f>
        <v>#N/A</v>
      </c>
      <c r="O7" s="81" t="e">
        <f>IF('2026 World Cup'!$BM31="",NA(),'2026 World Cup'!$BM31)</f>
        <v>#N/A</v>
      </c>
      <c r="P7" s="134" t="str">
        <f>'2026 World Cup'!BL31</f>
        <v>2J</v>
      </c>
      <c r="Q7" s="132" t="str">
        <f>'2026 World Cup'!BS52</f>
        <v/>
      </c>
      <c r="R7" s="81" t="e">
        <f>IF('2026 World Cup'!$BT52="",NA(),'2026 World Cup'!$BT52)</f>
        <v>#N/A</v>
      </c>
      <c r="S7" s="81" t="e">
        <f>IF('2026 World Cup'!$BT53="",NA(),'2026 World Cup'!$BT53)</f>
        <v>#N/A</v>
      </c>
      <c r="T7" s="134" t="str">
        <f>'2026 World Cup'!BS53</f>
        <v/>
      </c>
    </row>
    <row r="8" spans="1:32" x14ac:dyDescent="0.2">
      <c r="A8" s="132" t="str">
        <v>Brazil</v>
      </c>
      <c r="B8" s="81">
        <v>1</v>
      </c>
      <c r="C8" s="81">
        <v>1</v>
      </c>
      <c r="D8" s="134" t="str">
        <v>Morocco</v>
      </c>
      <c r="E8" s="132" t="str">
        <v>United States</v>
      </c>
      <c r="F8" s="81" t="e">
        <v>#N/A</v>
      </c>
      <c r="G8" s="81" t="e">
        <v>#N/A</v>
      </c>
      <c r="H8" s="134" t="str">
        <v>Australia</v>
      </c>
      <c r="I8" s="132" t="str">
        <v>Curaçao</v>
      </c>
      <c r="J8" s="81" t="e">
        <v>#N/A</v>
      </c>
      <c r="K8" s="81" t="e">
        <v>#N/A</v>
      </c>
      <c r="L8" s="134" t="str">
        <v>Ivory Coast</v>
      </c>
      <c r="M8" s="132" t="str">
        <f>'2026 World Cup'!BL34</f>
        <v>1D</v>
      </c>
      <c r="N8" s="81" t="e">
        <f>IF('2026 World Cup'!$BM34="",NA(),'2026 World Cup'!$BM34)</f>
        <v>#N/A</v>
      </c>
      <c r="O8" s="81" t="e">
        <f>IF('2026 World Cup'!$BM35="",NA(),'2026 World Cup'!$BM35)</f>
        <v>#N/A</v>
      </c>
      <c r="P8" s="134" t="str">
        <f>'2026 World Cup'!BL35</f>
        <v>3rd Group B/E/F/I/J</v>
      </c>
      <c r="Q8" s="132" t="str">
        <f>'2026 World Cup'!BS60</f>
        <v/>
      </c>
      <c r="R8" s="81" t="e">
        <f>IF('2026 World Cup'!$BT60="",NA(),'2026 World Cup'!$BT60)</f>
        <v>#N/A</v>
      </c>
      <c r="S8" s="81" t="e">
        <f>IF('2026 World Cup'!$BT61="",NA(),'2026 World Cup'!$BT61)</f>
        <v>#N/A</v>
      </c>
      <c r="T8" s="134" t="str">
        <f>'2026 World Cup'!BS61</f>
        <v/>
      </c>
    </row>
    <row r="9" spans="1:32" x14ac:dyDescent="0.2">
      <c r="A9" s="132" t="str">
        <v>Qatar</v>
      </c>
      <c r="B9" s="81">
        <v>1</v>
      </c>
      <c r="C9" s="81">
        <v>1</v>
      </c>
      <c r="D9" s="134" t="str">
        <v>Switzerland</v>
      </c>
      <c r="E9" s="132" t="str">
        <v>Turkey</v>
      </c>
      <c r="F9" s="81" t="e">
        <v>#N/A</v>
      </c>
      <c r="G9" s="81" t="e">
        <v>#N/A</v>
      </c>
      <c r="H9" s="134" t="str">
        <v>Paraguay</v>
      </c>
      <c r="I9" s="132" t="str">
        <v>Ecuador</v>
      </c>
      <c r="J9" s="81" t="e">
        <v>#N/A</v>
      </c>
      <c r="K9" s="81" t="e">
        <v>#N/A</v>
      </c>
      <c r="L9" s="134" t="str">
        <v>Germany</v>
      </c>
      <c r="M9" s="132" t="str">
        <f>'2026 World Cup'!BL38</f>
        <v>1G</v>
      </c>
      <c r="N9" s="81" t="e">
        <f>IF('2026 World Cup'!$BM38="",NA(),'2026 World Cup'!$BM38)</f>
        <v>#N/A</v>
      </c>
      <c r="O9" s="81" t="e">
        <f>IF('2026 World Cup'!$BM39="",NA(),'2026 World Cup'!$BM39)</f>
        <v>#N/A</v>
      </c>
      <c r="P9" s="134" t="str">
        <f>'2026 World Cup'!BL39</f>
        <v>3rd Group A/E/H/I/J</v>
      </c>
      <c r="Q9" s="135" t="str">
        <f>'2026 World Cup'!BS68</f>
        <v/>
      </c>
      <c r="R9" s="153" t="e">
        <f>IF('2026 World Cup'!$BT68="",NA(),'2026 World Cup'!$BT68)</f>
        <v>#N/A</v>
      </c>
      <c r="S9" s="153" t="e">
        <f>IF('2026 World Cup'!$BT69="",NA(),'2026 World Cup'!$BT69)</f>
        <v>#N/A</v>
      </c>
      <c r="T9" s="136" t="str">
        <f>'2026 World Cup'!BS69</f>
        <v/>
      </c>
    </row>
    <row r="10" spans="1:32" x14ac:dyDescent="0.2">
      <c r="A10" s="132" t="str">
        <v>Ivory Coast</v>
      </c>
      <c r="B10" s="81">
        <v>1</v>
      </c>
      <c r="C10" s="81">
        <v>0</v>
      </c>
      <c r="D10" s="134" t="str">
        <v>Ecuador</v>
      </c>
      <c r="E10" s="132" t="str">
        <v>Germany</v>
      </c>
      <c r="F10" s="81" t="e">
        <v>#N/A</v>
      </c>
      <c r="G10" s="81" t="e">
        <v>#N/A</v>
      </c>
      <c r="H10" s="134" t="str">
        <v>Ivory Coast</v>
      </c>
      <c r="I10" s="132" t="str">
        <v>Japan</v>
      </c>
      <c r="J10" s="81" t="e">
        <v>#N/A</v>
      </c>
      <c r="K10" s="81" t="e">
        <v>#N/A</v>
      </c>
      <c r="L10" s="134" t="str">
        <v>Sweden</v>
      </c>
      <c r="M10" s="132" t="str">
        <f>'2026 World Cup'!BL42</f>
        <v>1C</v>
      </c>
      <c r="N10" s="81" t="e">
        <f>IF('2026 World Cup'!$BM42="",NA(),'2026 World Cup'!$BM42)</f>
        <v>#N/A</v>
      </c>
      <c r="O10" s="81" t="e">
        <f>IF('2026 World Cup'!$BM43="",NA(),'2026 World Cup'!$BM43)</f>
        <v>#N/A</v>
      </c>
      <c r="P10" s="134" t="str">
        <f>'2026 World Cup'!BL43</f>
        <v>2F</v>
      </c>
    </row>
    <row r="11" spans="1:32" x14ac:dyDescent="0.2">
      <c r="A11" s="132" t="str">
        <v>Germany</v>
      </c>
      <c r="B11" s="81">
        <v>7</v>
      </c>
      <c r="C11" s="81">
        <v>1</v>
      </c>
      <c r="D11" s="134" t="str">
        <v>Curaçao</v>
      </c>
      <c r="E11" s="132" t="str">
        <v>Ecuador</v>
      </c>
      <c r="F11" s="81" t="e">
        <v>#N/A</v>
      </c>
      <c r="G11" s="81" t="e">
        <v>#N/A</v>
      </c>
      <c r="H11" s="134" t="str">
        <v>Curaçao</v>
      </c>
      <c r="I11" s="132" t="str">
        <v>Tunisia</v>
      </c>
      <c r="J11" s="81" t="e">
        <v>#N/A</v>
      </c>
      <c r="K11" s="81" t="e">
        <v>#N/A</v>
      </c>
      <c r="L11" s="134" t="str">
        <v>Netherlands</v>
      </c>
      <c r="M11" s="132" t="str">
        <f>'2026 World Cup'!BL46</f>
        <v>2E</v>
      </c>
      <c r="N11" s="81" t="e">
        <f>IF('2026 World Cup'!$BM46="",NA(),'2026 World Cup'!$BM46)</f>
        <v>#N/A</v>
      </c>
      <c r="O11" s="81" t="e">
        <f>IF('2026 World Cup'!$BM47="",NA(),'2026 World Cup'!$BM47)</f>
        <v>#N/A</v>
      </c>
      <c r="P11" s="134" t="str">
        <f>'2026 World Cup'!BL47</f>
        <v>2I</v>
      </c>
    </row>
    <row r="12" spans="1:32" x14ac:dyDescent="0.2">
      <c r="A12" s="132" t="str">
        <v>Netherlands</v>
      </c>
      <c r="B12" s="81">
        <v>2</v>
      </c>
      <c r="C12" s="81">
        <v>2</v>
      </c>
      <c r="D12" s="134" t="str">
        <v>Japan</v>
      </c>
      <c r="E12" s="132" t="str">
        <v>Netherlands</v>
      </c>
      <c r="F12" s="81" t="e">
        <v>#N/A</v>
      </c>
      <c r="G12" s="81" t="e">
        <v>#N/A</v>
      </c>
      <c r="H12" s="134" t="str">
        <v>Sweden</v>
      </c>
      <c r="I12" s="132" t="str">
        <v>Turkey</v>
      </c>
      <c r="J12" s="81" t="e">
        <v>#N/A</v>
      </c>
      <c r="K12" s="81" t="e">
        <v>#N/A</v>
      </c>
      <c r="L12" s="134" t="str">
        <v>United States</v>
      </c>
      <c r="M12" s="132" t="str">
        <f>'2026 World Cup'!BL50</f>
        <v>1A</v>
      </c>
      <c r="N12" s="81" t="e">
        <f>IF('2026 World Cup'!$BM40="",NA(),'2026 World Cup'!$BM40)</f>
        <v>#N/A</v>
      </c>
      <c r="O12" s="81" t="e">
        <f>IF('2026 World Cup'!$BM41="",NA(),'2026 World Cup'!$BM41)</f>
        <v>#N/A</v>
      </c>
      <c r="P12" s="134" t="str">
        <f>'2026 World Cup'!BL51</f>
        <v>3rd Group C/E/F/H/I</v>
      </c>
    </row>
    <row r="13" spans="1:32" x14ac:dyDescent="0.2">
      <c r="A13" s="132" t="str">
        <v>Sweden</v>
      </c>
      <c r="B13" s="81">
        <v>5</v>
      </c>
      <c r="C13" s="81">
        <v>1</v>
      </c>
      <c r="D13" s="134" t="str">
        <v>Tunisia</v>
      </c>
      <c r="E13" s="132" t="str">
        <v>Tunisia</v>
      </c>
      <c r="F13" s="81" t="e">
        <v>#N/A</v>
      </c>
      <c r="G13" s="81" t="e">
        <v>#N/A</v>
      </c>
      <c r="H13" s="134" t="str">
        <v>Japan</v>
      </c>
      <c r="I13" s="132" t="str">
        <v>Paraguay</v>
      </c>
      <c r="J13" s="81" t="e">
        <v>#N/A</v>
      </c>
      <c r="K13" s="81" t="e">
        <v>#N/A</v>
      </c>
      <c r="L13" s="134" t="str">
        <v>Australia</v>
      </c>
      <c r="M13" s="132" t="str">
        <f>'2026 World Cup'!BL54</f>
        <v>1L</v>
      </c>
      <c r="N13" s="81" t="e">
        <f>IF('2026 World Cup'!$BM54="",NA(),'2026 World Cup'!$BM54)</f>
        <v>#N/A</v>
      </c>
      <c r="O13" s="81" t="e">
        <f>IF('2026 World Cup'!$BM55="",NA(),'2026 World Cup'!$BM55)</f>
        <v>#N/A</v>
      </c>
      <c r="P13" s="134" t="str">
        <f>'2026 World Cup'!BL55</f>
        <v>3rd Group E/H/I/J/K</v>
      </c>
    </row>
    <row r="14" spans="1:32" x14ac:dyDescent="0.2">
      <c r="A14" s="132" t="str">
        <v>Saudi Arabia</v>
      </c>
      <c r="B14" s="81">
        <v>1</v>
      </c>
      <c r="C14" s="81">
        <v>1</v>
      </c>
      <c r="D14" s="134" t="str">
        <v>Uruguay</v>
      </c>
      <c r="E14" s="132" t="str">
        <v>Uruguay</v>
      </c>
      <c r="F14" s="81" t="e">
        <v>#N/A</v>
      </c>
      <c r="G14" s="81" t="e">
        <v>#N/A</v>
      </c>
      <c r="H14" s="134" t="str">
        <v>Cape Verde</v>
      </c>
      <c r="I14" s="132" t="str">
        <v>Norway</v>
      </c>
      <c r="J14" s="81" t="e">
        <v>#N/A</v>
      </c>
      <c r="K14" s="81" t="e">
        <v>#N/A</v>
      </c>
      <c r="L14" s="134" t="str">
        <v>France</v>
      </c>
      <c r="M14" s="132" t="str">
        <f>'2026 World Cup'!BL58</f>
        <v>1J</v>
      </c>
      <c r="N14" s="81" t="e">
        <f>IF('2026 World Cup'!$BM58="",NA(),'2026 World Cup'!$BM58)</f>
        <v>#N/A</v>
      </c>
      <c r="O14" s="81" t="e">
        <f>IF('2026 World Cup'!$BM59="",NA(),'2026 World Cup'!$BM59)</f>
        <v>#N/A</v>
      </c>
      <c r="P14" s="134" t="str">
        <f>'2026 World Cup'!BL59</f>
        <v>2H</v>
      </c>
    </row>
    <row r="15" spans="1:32" x14ac:dyDescent="0.2">
      <c r="A15" s="132" t="str">
        <v>Spain</v>
      </c>
      <c r="B15" s="81">
        <v>0</v>
      </c>
      <c r="C15" s="81">
        <v>0</v>
      </c>
      <c r="D15" s="134" t="str">
        <v>Cape Verde</v>
      </c>
      <c r="E15" s="132" t="str">
        <v>Spain</v>
      </c>
      <c r="F15" s="81" t="e">
        <v>#N/A</v>
      </c>
      <c r="G15" s="81" t="e">
        <v>#N/A</v>
      </c>
      <c r="H15" s="134" t="str">
        <v>Saudi Arabia</v>
      </c>
      <c r="I15" s="132" t="str">
        <v>Senegal</v>
      </c>
      <c r="J15" s="81" t="e">
        <v>#N/A</v>
      </c>
      <c r="K15" s="81" t="e">
        <v>#N/A</v>
      </c>
      <c r="L15" s="134" t="str">
        <v>Iraq</v>
      </c>
      <c r="M15" s="132" t="str">
        <f>'2026 World Cup'!BL62</f>
        <v>2D</v>
      </c>
      <c r="N15" s="81" t="e">
        <f>IF('2026 World Cup'!$BM62="",NA(),'2026 World Cup'!$BM62)</f>
        <v>#N/A</v>
      </c>
      <c r="O15" s="81" t="e">
        <f>IF('2026 World Cup'!$BM63="",NA(),'2026 World Cup'!$BM63)</f>
        <v>#N/A</v>
      </c>
      <c r="P15" s="134" t="str">
        <f>'2026 World Cup'!BL63</f>
        <v>2G</v>
      </c>
    </row>
    <row r="16" spans="1:32" x14ac:dyDescent="0.2">
      <c r="A16" s="132" t="str">
        <v>Iran</v>
      </c>
      <c r="B16" s="81">
        <v>2</v>
      </c>
      <c r="C16" s="81">
        <v>2</v>
      </c>
      <c r="D16" s="134" t="str">
        <v>New Zealand</v>
      </c>
      <c r="E16" s="132" t="str">
        <v>Belgium</v>
      </c>
      <c r="F16" s="81" t="e">
        <v>#N/A</v>
      </c>
      <c r="G16" s="81" t="e">
        <v>#N/A</v>
      </c>
      <c r="H16" s="134" t="str">
        <v>Iran</v>
      </c>
      <c r="I16" s="132" t="str">
        <v>Egypt</v>
      </c>
      <c r="J16" s="81" t="e">
        <v>#N/A</v>
      </c>
      <c r="K16" s="81" t="e">
        <v>#N/A</v>
      </c>
      <c r="L16" s="134" t="str">
        <v>Iran</v>
      </c>
      <c r="M16" s="132" t="str">
        <f>'2026 World Cup'!BL66</f>
        <v>1B</v>
      </c>
      <c r="N16" s="81" t="e">
        <f>IF('2026 World Cup'!$BM66="",NA(),'2026 World Cup'!$BM66)</f>
        <v>#N/A</v>
      </c>
      <c r="O16" s="81" t="e">
        <f>IF('2026 World Cup'!$BM67="",NA(),'2026 World Cup'!$BM67)</f>
        <v>#N/A</v>
      </c>
      <c r="P16" s="134" t="str">
        <f>'2026 World Cup'!BL67</f>
        <v>3rd Group E/F/G/I/J</v>
      </c>
    </row>
    <row r="17" spans="1:16" x14ac:dyDescent="0.2">
      <c r="A17" s="132" t="str">
        <v>Belgium</v>
      </c>
      <c r="B17" s="81">
        <v>1</v>
      </c>
      <c r="C17" s="81">
        <v>1</v>
      </c>
      <c r="D17" s="134" t="str">
        <v>Egypt</v>
      </c>
      <c r="E17" s="132" t="str">
        <v>New Zealand</v>
      </c>
      <c r="F17" s="81" t="e">
        <v>#N/A</v>
      </c>
      <c r="G17" s="81" t="e">
        <v>#N/A</v>
      </c>
      <c r="H17" s="134" t="str">
        <v>Egypt</v>
      </c>
      <c r="I17" s="132" t="str">
        <v>New Zealand</v>
      </c>
      <c r="J17" s="81" t="e">
        <v>#N/A</v>
      </c>
      <c r="K17" s="81" t="e">
        <v>#N/A</v>
      </c>
      <c r="L17" s="134" t="str">
        <v>Belgium</v>
      </c>
      <c r="M17" s="135" t="str">
        <f>'2026 World Cup'!BL70</f>
        <v>1K</v>
      </c>
      <c r="N17" s="153" t="e">
        <f>IF('2026 World Cup'!$BM70="",NA(),'2026 World Cup'!$BM70)</f>
        <v>#N/A</v>
      </c>
      <c r="O17" s="153" t="e">
        <f>IF('2026 World Cup'!$BM71="",NA(),'2026 World Cup'!$BM71)</f>
        <v>#N/A</v>
      </c>
      <c r="P17" s="136" t="str">
        <f>'2026 World Cup'!BL71</f>
        <v>3rd Group D/E/I/J/L</v>
      </c>
    </row>
    <row r="18" spans="1:16" x14ac:dyDescent="0.2">
      <c r="A18" s="132" t="str">
        <v>France</v>
      </c>
      <c r="B18" s="81">
        <v>3</v>
      </c>
      <c r="C18" s="81">
        <v>1</v>
      </c>
      <c r="D18" s="134" t="str">
        <v>Senegal</v>
      </c>
      <c r="E18" s="132" t="str">
        <v>Norway</v>
      </c>
      <c r="F18" s="81" t="e">
        <v>#N/A</v>
      </c>
      <c r="G18" s="81" t="e">
        <v>#N/A</v>
      </c>
      <c r="H18" s="134" t="str">
        <v>Senegal</v>
      </c>
      <c r="I18" s="132" t="str">
        <v>Cape Verde</v>
      </c>
      <c r="J18" s="81" t="e">
        <v>#N/A</v>
      </c>
      <c r="K18" s="81" t="e">
        <v>#N/A</v>
      </c>
      <c r="L18" s="134" t="str">
        <v>Saudi Arabia</v>
      </c>
    </row>
    <row r="19" spans="1:16" x14ac:dyDescent="0.2">
      <c r="A19" s="132" t="str">
        <v>Iraq</v>
      </c>
      <c r="B19" s="81">
        <v>1</v>
      </c>
      <c r="C19" s="81">
        <v>4</v>
      </c>
      <c r="D19" s="134" t="str">
        <v>Norway</v>
      </c>
      <c r="E19" s="132" t="str">
        <v>France</v>
      </c>
      <c r="F19" s="81" t="e">
        <v>#N/A</v>
      </c>
      <c r="G19" s="81" t="e">
        <v>#N/A</v>
      </c>
      <c r="H19" s="134" t="str">
        <v>Iraq</v>
      </c>
      <c r="I19" s="132" t="str">
        <v>Uruguay</v>
      </c>
      <c r="J19" s="81" t="e">
        <v>#N/A</v>
      </c>
      <c r="K19" s="81" t="e">
        <v>#N/A</v>
      </c>
      <c r="L19" s="134" t="str">
        <v>Spain</v>
      </c>
    </row>
    <row r="20" spans="1:16" x14ac:dyDescent="0.2">
      <c r="A20" s="132" t="str">
        <v>Argentina</v>
      </c>
      <c r="B20" s="81">
        <v>3</v>
      </c>
      <c r="C20" s="81">
        <v>0</v>
      </c>
      <c r="D20" s="134" t="str">
        <v>Algeria</v>
      </c>
      <c r="E20" s="132" t="str">
        <v>Argentina</v>
      </c>
      <c r="F20" s="81" t="e">
        <v>#N/A</v>
      </c>
      <c r="G20" s="81" t="e">
        <v>#N/A</v>
      </c>
      <c r="H20" s="134" t="str">
        <v>Austria</v>
      </c>
      <c r="I20" s="132" t="str">
        <v>Panama</v>
      </c>
      <c r="J20" s="81" t="e">
        <v>#N/A</v>
      </c>
      <c r="K20" s="81" t="e">
        <v>#N/A</v>
      </c>
      <c r="L20" s="134" t="str">
        <v>England</v>
      </c>
    </row>
    <row r="21" spans="1:16" x14ac:dyDescent="0.2">
      <c r="A21" s="132" t="str">
        <v>Austria</v>
      </c>
      <c r="B21" s="81">
        <v>3</v>
      </c>
      <c r="C21" s="81">
        <v>1</v>
      </c>
      <c r="D21" s="134" t="str">
        <v>Jordan</v>
      </c>
      <c r="E21" s="132" t="str">
        <v>Jordan</v>
      </c>
      <c r="F21" s="81" t="e">
        <v>#N/A</v>
      </c>
      <c r="G21" s="81" t="e">
        <v>#N/A</v>
      </c>
      <c r="H21" s="134" t="str">
        <v>Algeria</v>
      </c>
      <c r="I21" s="132" t="str">
        <v>Croatia</v>
      </c>
      <c r="J21" s="81" t="e">
        <v>#N/A</v>
      </c>
      <c r="K21" s="81" t="e">
        <v>#N/A</v>
      </c>
      <c r="L21" s="134" t="str">
        <v>Ghana</v>
      </c>
    </row>
    <row r="22" spans="1:16" x14ac:dyDescent="0.2">
      <c r="A22" s="132" t="str">
        <v>Ghana</v>
      </c>
      <c r="B22" s="81">
        <v>1</v>
      </c>
      <c r="C22" s="81">
        <v>0</v>
      </c>
      <c r="D22" s="134" t="str">
        <v>Panama</v>
      </c>
      <c r="E22" s="132" t="str">
        <v>England</v>
      </c>
      <c r="F22" s="81" t="e">
        <v>#N/A</v>
      </c>
      <c r="G22" s="81" t="e">
        <v>#N/A</v>
      </c>
      <c r="H22" s="134" t="str">
        <v>Ghana</v>
      </c>
      <c r="I22" s="132" t="str">
        <v>Algeria</v>
      </c>
      <c r="J22" s="81" t="e">
        <v>#N/A</v>
      </c>
      <c r="K22" s="81" t="e">
        <v>#N/A</v>
      </c>
      <c r="L22" s="134" t="str">
        <v>Austria</v>
      </c>
    </row>
    <row r="23" spans="1:16" x14ac:dyDescent="0.2">
      <c r="A23" s="132" t="str">
        <v>England</v>
      </c>
      <c r="B23" s="81">
        <v>4</v>
      </c>
      <c r="C23" s="81">
        <v>2</v>
      </c>
      <c r="D23" s="134" t="str">
        <v>Croatia</v>
      </c>
      <c r="E23" s="132" t="str">
        <v>Panama</v>
      </c>
      <c r="F23" s="81" t="e">
        <v>#N/A</v>
      </c>
      <c r="G23" s="81" t="e">
        <v>#N/A</v>
      </c>
      <c r="H23" s="134" t="str">
        <v>Croatia</v>
      </c>
      <c r="I23" s="132" t="str">
        <v>Jordan</v>
      </c>
      <c r="J23" s="81" t="e">
        <v>#N/A</v>
      </c>
      <c r="K23" s="81" t="e">
        <v>#N/A</v>
      </c>
      <c r="L23" s="134" t="str">
        <v>Argentina</v>
      </c>
    </row>
    <row r="24" spans="1:16" x14ac:dyDescent="0.2">
      <c r="A24" s="132" t="str">
        <v>Portugal</v>
      </c>
      <c r="B24" s="81">
        <v>1</v>
      </c>
      <c r="C24" s="81">
        <v>1</v>
      </c>
      <c r="D24" s="134" t="str">
        <v>DR Congo</v>
      </c>
      <c r="E24" s="132" t="str">
        <v>Portugal</v>
      </c>
      <c r="F24" s="81" t="e">
        <v>#N/A</v>
      </c>
      <c r="G24" s="81" t="e">
        <v>#N/A</v>
      </c>
      <c r="H24" s="134" t="str">
        <v>Uzbekistan</v>
      </c>
      <c r="I24" s="132" t="str">
        <v>Colombia</v>
      </c>
      <c r="J24" s="81" t="e">
        <v>#N/A</v>
      </c>
      <c r="K24" s="81" t="e">
        <v>#N/A</v>
      </c>
      <c r="L24" s="134" t="str">
        <v>Portugal</v>
      </c>
    </row>
    <row r="25" spans="1:16" x14ac:dyDescent="0.2">
      <c r="A25" s="135" t="str">
        <v>Uzbekistan</v>
      </c>
      <c r="B25" s="153">
        <v>1</v>
      </c>
      <c r="C25" s="153">
        <v>3</v>
      </c>
      <c r="D25" s="136" t="str">
        <v>Colombia</v>
      </c>
      <c r="E25" s="135" t="str">
        <v>Colombia</v>
      </c>
      <c r="F25" s="153" t="e">
        <v>#N/A</v>
      </c>
      <c r="G25" s="153" t="e">
        <v>#N/A</v>
      </c>
      <c r="H25" s="136" t="str">
        <v>DR Congo</v>
      </c>
      <c r="I25" s="135" t="str">
        <v>DR Congo</v>
      </c>
      <c r="J25" s="153" t="e">
        <v>#N/A</v>
      </c>
      <c r="K25" s="153" t="e">
        <v>#N/A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opLeftCell="A5" zoomScale="112" zoomScaleNormal="100" workbookViewId="0">
      <selection activeCell="G33" sqref="G33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82" t="str" cm="1">
        <f t="array" ref="A1">INDEX(T,2,lang)</f>
        <v>2026 World Cup Final Tournament Schedule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83" t="str">
        <f>"Language: " &amp; Settings!C4</f>
        <v>Language: English</v>
      </c>
      <c r="P3" s="183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84" t="str" cm="1">
        <f t="array" ref="A5">INDEX(T,3,lang)</f>
        <v>Group Stage</v>
      </c>
      <c r="B5" s="185"/>
      <c r="C5" s="185"/>
      <c r="D5" s="185"/>
      <c r="E5" s="185"/>
      <c r="F5" s="185"/>
      <c r="G5" s="185"/>
      <c r="H5" s="186"/>
      <c r="J5" s="190" t="s">
        <v>3166</v>
      </c>
      <c r="K5" s="191"/>
      <c r="L5" s="191"/>
      <c r="M5" s="191"/>
      <c r="N5" s="191"/>
      <c r="O5" s="191"/>
      <c r="P5" s="192"/>
    </row>
    <row r="6" spans="1:95" ht="15" customHeight="1" x14ac:dyDescent="0.2">
      <c r="A6" s="187"/>
      <c r="B6" s="188"/>
      <c r="C6" s="188"/>
      <c r="D6" s="188"/>
      <c r="E6" s="188"/>
      <c r="F6" s="188"/>
      <c r="G6" s="188"/>
      <c r="H6" s="189"/>
      <c r="J6" s="193"/>
      <c r="K6" s="194"/>
      <c r="L6" s="194"/>
      <c r="M6" s="194"/>
      <c r="N6" s="194"/>
      <c r="O6" s="194"/>
      <c r="P6" s="195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76" t="s">
        <v>3179</v>
      </c>
      <c r="BL6" s="177"/>
      <c r="BM6" s="177"/>
      <c r="BN6" s="177"/>
      <c r="BO6" s="178"/>
      <c r="BR6" s="176" t="str" cm="1">
        <f t="array" ref="BR6">INDEX(T,4,lang)</f>
        <v>Round of 16</v>
      </c>
      <c r="BS6" s="177"/>
      <c r="BT6" s="177"/>
      <c r="BU6" s="177"/>
      <c r="BV6" s="178"/>
      <c r="BY6" s="176" t="str" cm="1">
        <f t="array" ref="BY6">INDEX(T,5,lang)</f>
        <v>Quarterfinals</v>
      </c>
      <c r="BZ6" s="177"/>
      <c r="CA6" s="177"/>
      <c r="CB6" s="177"/>
      <c r="CC6" s="178"/>
      <c r="CF6" s="176" t="str" cm="1">
        <f t="array" ref="CF6">INDEX(T,6,lang)</f>
        <v>Semi-Finals</v>
      </c>
      <c r="CG6" s="177"/>
      <c r="CH6" s="177"/>
      <c r="CI6" s="177"/>
      <c r="CJ6" s="178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79"/>
      <c r="BL7" s="180"/>
      <c r="BM7" s="180"/>
      <c r="BN7" s="180"/>
      <c r="BO7" s="181"/>
      <c r="BR7" s="179"/>
      <c r="BS7" s="180"/>
      <c r="BT7" s="180"/>
      <c r="BU7" s="180"/>
      <c r="BV7" s="181"/>
      <c r="BY7" s="179"/>
      <c r="BZ7" s="180"/>
      <c r="CA7" s="180"/>
      <c r="CB7" s="180"/>
      <c r="CC7" s="181"/>
      <c r="CF7" s="179"/>
      <c r="CG7" s="180"/>
      <c r="CH7" s="180"/>
      <c r="CI7" s="180"/>
      <c r="CJ7" s="181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73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74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73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74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7</v>
      </c>
      <c r="AJ14" s="123">
        <f>SUMIF($E$7:$E$78,$AE14,$G$7:$G$78) + SUMIF($H$7:$H$78,$AE14,$F$7:$F$78)</f>
        <v>1</v>
      </c>
      <c r="AL14" s="123">
        <f>AI14-AJ14</f>
        <v>6</v>
      </c>
      <c r="AM14" s="123">
        <f>AL14-AL18</f>
        <v>12</v>
      </c>
      <c r="AN14" s="123">
        <f>AF14*3+AG14</f>
        <v>4</v>
      </c>
      <c r="AO14" s="123">
        <f>AN14/AN18*10+BA14</f>
        <v>8</v>
      </c>
      <c r="AP14" s="123">
        <f>AO14*10000000+BI14*100+AM14/AM18*10+AI14/AI18*1++IF(AQ14=0,ROW(),AQ14)/2000000</f>
        <v>80000010.106547475</v>
      </c>
      <c r="AQ14" s="126">
        <f>VLOOKUP(AE14,db_fifarank,2,FALSE)</f>
        <v>1556.48</v>
      </c>
      <c r="AR14" s="125">
        <f>AP14/AP18</f>
        <v>0.99999998750000174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73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Canada</v>
      </c>
      <c r="K15" s="31">
        <f>L15+M15+N15</f>
        <v>2</v>
      </c>
      <c r="L15" s="31">
        <f>VLOOKUP(1,AD14:AN17,3,FALSE)</f>
        <v>1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7 - 1</v>
      </c>
      <c r="P15" s="32">
        <f>L15*3+M15</f>
        <v>4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2</v>
      </c>
      <c r="AJ15" s="123">
        <f>SUMIF($E$7:$E$78,$AE15,$G$7:$G$78) + SUMIF($H$7:$H$78,$AE15,$F$7:$F$78)</f>
        <v>5</v>
      </c>
      <c r="AL15" s="123">
        <f>AI15-AJ15</f>
        <v>-3</v>
      </c>
      <c r="AM15" s="123">
        <f>AL15-AL18</f>
        <v>3</v>
      </c>
      <c r="AN15" s="123">
        <f>AF15*3+AG15</f>
        <v>1</v>
      </c>
      <c r="AO15" s="123">
        <f>AN15/AN18*10+BA15</f>
        <v>2</v>
      </c>
      <c r="AP15" s="123">
        <f>AO15*10000000+BI15*100+AM15/AM18*10+AI15/AI18*1++IF(AQ15=0,ROW(),AQ15)/2000000</f>
        <v>20000002.558385227</v>
      </c>
      <c r="AQ15" s="126">
        <f>VLOOKUP(AE15,db_fifarank,2,FALSE)</f>
        <v>1385.84</v>
      </c>
      <c r="AR15" s="125">
        <f>AP15/AP18</f>
        <v>0.24999999727185485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74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2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5 - 2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1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7</v>
      </c>
      <c r="AL16" s="123">
        <f>AI16-AJ16</f>
        <v>-6</v>
      </c>
      <c r="AM16" s="123">
        <f>AL16-AL18</f>
        <v>0</v>
      </c>
      <c r="AN16" s="123">
        <f>AF16*3+AG16</f>
        <v>1</v>
      </c>
      <c r="AO16" s="123">
        <f>AN16/AN18*10+BA16</f>
        <v>2</v>
      </c>
      <c r="AP16" s="123">
        <f>AO16*10000000+BI16*100+AM16/AM18*10+AI16/AI18*1++IF(AQ16=0,ROW(),AQ16)/2000000</f>
        <v>20000000.125727478</v>
      </c>
      <c r="AQ16" s="126">
        <f>VLOOKUP(AE16,db_fifarank,2,FALSE)</f>
        <v>1454.96</v>
      </c>
      <c r="AR16" s="125">
        <f>AP16/AP18</f>
        <v>0.24999996686363724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73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2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2 - 5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5</v>
      </c>
      <c r="AJ17" s="123">
        <f>SUMIF($E$7:$E$78,$AE17,$G$7:$G$78) + SUMIF($H$7:$H$78,$AE17,$F$7:$F$78)</f>
        <v>2</v>
      </c>
      <c r="AL17" s="123">
        <f>AI17-AJ17</f>
        <v>3</v>
      </c>
      <c r="AM17" s="123">
        <f>AL17-AL18</f>
        <v>9</v>
      </c>
      <c r="AN17" s="123">
        <f>AF17*3+AG17</f>
        <v>4</v>
      </c>
      <c r="AO17" s="123">
        <f>AN17/AN18*10+BA17</f>
        <v>8</v>
      </c>
      <c r="AP17" s="123">
        <f>AO17*10000000+BI17*100+AM17/AM18*10+AI17/AI18*1++IF(AQ17=0,ROW(),AQ17)/2000000</f>
        <v>80000007.548901632</v>
      </c>
      <c r="AQ17" s="126">
        <f>VLOOKUP(AE17,db_fifarank,2,FALSE)</f>
        <v>1649.4</v>
      </c>
      <c r="AR17" s="125">
        <f>AP17/AP18</f>
        <v>0.9999999555294331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74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2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1</v>
      </c>
      <c r="O18" s="36" t="str">
        <f>VLOOKUP(4,AD14:AN17,6,FALSE) &amp; " - " &amp; VLOOKUP(4,AD14:AN17,7,FALSE)</f>
        <v>1 - 7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2</v>
      </c>
      <c r="AG18" s="123">
        <f t="shared" si="13"/>
        <v>1</v>
      </c>
      <c r="AH18" s="123">
        <f t="shared" si="13"/>
        <v>2</v>
      </c>
      <c r="AI18" s="123">
        <f>MAX(AI14:AI17)+1</f>
        <v>8</v>
      </c>
      <c r="AL18" s="123">
        <f>MIN(AL14:AL17)</f>
        <v>-6</v>
      </c>
      <c r="AM18" s="123">
        <f>MAX(AM14:AM17)+1</f>
        <v>13</v>
      </c>
      <c r="AN18" s="123">
        <f>MAX(AN14:AN17)+1</f>
        <v>5</v>
      </c>
      <c r="AO18" s="123">
        <f>MAX(AO14:AO17)+1</f>
        <v>9</v>
      </c>
      <c r="AP18" s="123">
        <f>MAX(AP14:AP17)+1</f>
        <v>80000011.106547475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73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74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1</v>
      </c>
      <c r="V20" s="123">
        <f t="shared" si="3"/>
        <v>0</v>
      </c>
      <c r="W20" s="123">
        <f t="shared" si="4"/>
        <v>0</v>
      </c>
      <c r="X20" s="123">
        <f t="shared" si="9"/>
        <v>1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73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1</v>
      </c>
      <c r="V21" s="123">
        <f t="shared" si="3"/>
        <v>2</v>
      </c>
      <c r="W21" s="123">
        <f t="shared" si="4"/>
        <v>2</v>
      </c>
      <c r="X21" s="123">
        <f t="shared" si="9"/>
        <v>1</v>
      </c>
      <c r="Y21" s="123">
        <f t="shared" si="10"/>
        <v>2</v>
      </c>
      <c r="Z21" s="123">
        <f t="shared" si="11"/>
        <v>2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74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73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74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73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74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73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74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73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1</v>
      </c>
      <c r="V29" s="123">
        <f t="shared" si="3"/>
        <v>1</v>
      </c>
      <c r="W29" s="123">
        <f t="shared" si="4"/>
        <v>1</v>
      </c>
      <c r="X29" s="123">
        <f t="shared" si="9"/>
        <v>1</v>
      </c>
      <c r="Y29" s="123">
        <f t="shared" si="10"/>
        <v>1</v>
      </c>
      <c r="Z29" s="123">
        <f t="shared" si="11"/>
        <v>1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74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73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>Czech Republic_draw</v>
      </c>
      <c r="T31" s="127" t="str">
        <f>IF(S31="","",IF(F31&lt;G31,H31&amp;"_win",IF(F31&gt;G31,H31&amp;"_lose",H31&amp;"_draw")))</f>
        <v>South Africa_draw</v>
      </c>
      <c r="U31" s="123">
        <f t="shared" si="8"/>
        <v>1</v>
      </c>
      <c r="V31" s="123">
        <f>U31*F31</f>
        <v>1</v>
      </c>
      <c r="W31" s="123">
        <f t="shared" si="4"/>
        <v>1</v>
      </c>
      <c r="X31" s="123">
        <f t="shared" si="9"/>
        <v>1</v>
      </c>
      <c r="Y31" s="123">
        <f>X31*F31</f>
        <v>1</v>
      </c>
      <c r="Z31" s="123">
        <f t="shared" si="11"/>
        <v>1</v>
      </c>
      <c r="AA31" s="123">
        <f t="shared" si="5"/>
        <v>0</v>
      </c>
      <c r="AB31" s="123">
        <f>IF(OR(F31="",G31=""),"",IF(F31&gt;G31,1,IF(F31&lt;G31,-1,0)))</f>
        <v>0</v>
      </c>
      <c r="BK31" s="174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>Switzerland_win</v>
      </c>
      <c r="T32" s="127" t="str">
        <f>IF(S32="","",IF(F32&lt;G32,H32&amp;"_win",IF(F32&gt;G32,H32&amp;"_lose",H32&amp;"_draw")))</f>
        <v>Bosnia and Herzegovina_lose</v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>
        <f>IF(OR(F32="",G32=""),"",IF(F32&gt;G32,1,IF(F32&lt;G32,-1,0)))</f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73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74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76" t="str" cm="1">
        <f t="array" ref="CM33">INDEX(T,8,lang)</f>
        <v>Final</v>
      </c>
      <c r="CN33" s="177"/>
      <c r="CO33" s="177"/>
      <c r="CP33" s="177"/>
      <c r="CQ33" s="178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1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1 - 0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1</v>
      </c>
      <c r="AJ34" s="123">
        <f>SUMIF($E$7:$E$78,$AE34,$G$7:$G$78) + SUMIF($H$7:$H$78,$AE34,$F$7:$F$78)</f>
        <v>0</v>
      </c>
      <c r="AL34" s="123">
        <f>AI34-AJ34</f>
        <v>1</v>
      </c>
      <c r="AM34" s="123">
        <f>AL34-AL36</f>
        <v>7</v>
      </c>
      <c r="AN34" s="123">
        <f>AF34*3+AG34</f>
        <v>3</v>
      </c>
      <c r="AO34" s="123">
        <f>AN34/AN36*10+BA34</f>
        <v>7.5</v>
      </c>
      <c r="AP34" s="123">
        <f>AO34*10000000+BI34*100+AM34/AM36*10+AI34/AI36*1++IF(AQ34=0,ROW(),AQ34)/2000000</f>
        <v>75000005.510381877</v>
      </c>
      <c r="AQ34" s="126">
        <f>VLOOKUP(AE34,db_fifarank,2,FALSE)</f>
        <v>1532.98</v>
      </c>
      <c r="AR34" s="125">
        <f>AP34/AP36</f>
        <v>0.9999999253833104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73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79"/>
      <c r="CN34" s="180"/>
      <c r="CO34" s="180"/>
      <c r="CP34" s="180"/>
      <c r="CQ34" s="181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3.846951236153846</v>
      </c>
      <c r="AQ35" s="126">
        <f>VLOOKUP(AE35,db_fifarank,2,FALSE)</f>
        <v>1594.78</v>
      </c>
      <c r="AR35" s="125">
        <f>AP35/AP36</f>
        <v>5.1292675552864665E-8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74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73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74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73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2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4</v>
      </c>
      <c r="AN38" s="123">
        <f>AF38*3+AG38</f>
        <v>1</v>
      </c>
      <c r="AO38" s="123">
        <f>AN38/AN42*10+BA38</f>
        <v>3.4806451612903224</v>
      </c>
      <c r="AP38" s="123">
        <f>AO38*10000000+BI38*100+AM38/AM42*10+AI38/AI42*1++IF(AQ38=0,ROW(),AQ38)/2000000</f>
        <v>34806554.456076071</v>
      </c>
      <c r="AQ38" s="126">
        <f>VLOOKUP(AE38,db_fifarank,2,FALSE)</f>
        <v>1757.87</v>
      </c>
      <c r="AR38" s="125">
        <f>AP38/AP42</f>
        <v>0.46408732639569511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73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74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Sweden</v>
      </c>
      <c r="K39" s="31">
        <f>L39+M39+N39</f>
        <v>1</v>
      </c>
      <c r="L39" s="31">
        <f>VLOOKUP(1,AD38:AN41,3,FALSE)</f>
        <v>1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5 - 1</v>
      </c>
      <c r="P39" s="32">
        <f>L39*3+M39</f>
        <v>3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3.4806451612903224</v>
      </c>
      <c r="AP39" s="123">
        <f>AO39*10000000+BI39*100+AM39/AM42*10+AI39/AI42*1++IF(AQ39=0,ROW(),AQ39)/2000000</f>
        <v>34806554.456027351</v>
      </c>
      <c r="AQ39" s="126">
        <f>VLOOKUP(AE39,db_fifarank,2,FALSE)</f>
        <v>1660.43</v>
      </c>
      <c r="AR39" s="125">
        <f>AP39/AP42</f>
        <v>0.46408732639504552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74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Netherlands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1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5</v>
      </c>
      <c r="AJ40" s="123">
        <f>SUMIF($E$7:$E$78,$AE40,$G$7:$G$78) + SUMIF($H$7:$H$78,$AE40,$F$7:$F$78)</f>
        <v>1</v>
      </c>
      <c r="AL40" s="123">
        <f>AI40-AJ40</f>
        <v>4</v>
      </c>
      <c r="AM40" s="123">
        <f>AL40-AL42</f>
        <v>8</v>
      </c>
      <c r="AN40" s="123">
        <f>AF40*3+AG40</f>
        <v>3</v>
      </c>
      <c r="AO40" s="123">
        <f>AN40/AN42*10+BA40</f>
        <v>7.5</v>
      </c>
      <c r="AP40" s="123">
        <f>AO40*10000000+BI40*100+AM40/AM42*10+AI40/AI42*1++IF(AQ40=0,ROW(),AQ40)/2000000</f>
        <v>75000009.722979605</v>
      </c>
      <c r="AQ40" s="126">
        <f>VLOOKUP(AE40,db_fifarank,2,FALSE)</f>
        <v>1514.77</v>
      </c>
      <c r="AR40" s="125">
        <f>AP40/AP42</f>
        <v>0.99999998666666856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0.16740819166666665</v>
      </c>
      <c r="AQ41" s="126">
        <f>VLOOKUP(AE41,db_fifarank,2,FALSE)</f>
        <v>1483.05</v>
      </c>
      <c r="AR41" s="125">
        <f>AP41/AP42</f>
        <v>2.2321089030907787E-9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6</v>
      </c>
      <c r="AL42" s="123">
        <f>MIN(AL38:AL41)</f>
        <v>-4</v>
      </c>
      <c r="AM42" s="123">
        <f>MAX(AM38:AM41)+1</f>
        <v>9</v>
      </c>
      <c r="AN42" s="123">
        <f>MAX(AN38:AN41)+1</f>
        <v>4</v>
      </c>
      <c r="AO42" s="123">
        <f>MAX(AO38:AO41)+1</f>
        <v>8.5</v>
      </c>
      <c r="AP42" s="123">
        <f>MAX(AP38:AP41)+1</f>
        <v>75000010.722979605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73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74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1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1</v>
      </c>
      <c r="AO44" s="123">
        <f>AN44/AN48*10+BA44</f>
        <v>5.9852941176470589</v>
      </c>
      <c r="AP44" s="123">
        <f>AO44*10000000+BI44*100+AM44/AM48*10+AI44/AI48*1++IF(AQ44=0,ROW(),AQ44)/2000000</f>
        <v>59853040.040083036</v>
      </c>
      <c r="AQ44" s="126">
        <f>VLOOKUP(AE44,db_fifarank,2,FALSE)</f>
        <v>1734.71</v>
      </c>
      <c r="AR44" s="125">
        <f>AP44/AP48</f>
        <v>0.9991816403290853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100.5</v>
      </c>
      <c r="BA44" s="126">
        <f>AZ44/AZ48</f>
        <v>0.98529411764705888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100.5</v>
      </c>
      <c r="BI44" s="126">
        <f>BH44/BH48</f>
        <v>0.98529411764705888</v>
      </c>
      <c r="BK44" s="21"/>
      <c r="BL44" s="21"/>
      <c r="BM44" s="21"/>
      <c r="BN44" s="21"/>
      <c r="BO44" s="21"/>
      <c r="BP44" s="114"/>
      <c r="BQ44" s="112"/>
      <c r="BR44" s="173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76" t="str" cm="1">
        <f t="array" ref="CM44">INDEX(T,7,lang)</f>
        <v>Third-Place Play-Off</v>
      </c>
      <c r="CN44" s="177"/>
      <c r="CO44" s="177"/>
      <c r="CP44" s="177"/>
      <c r="CQ44" s="178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Iran</v>
      </c>
      <c r="K45" s="31">
        <f>L45+M45+N45</f>
        <v>1</v>
      </c>
      <c r="L45" s="31">
        <f>VLOOKUP(1,AD44:AN47,3,FALSE)</f>
        <v>0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1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5.9852941176470589</v>
      </c>
      <c r="AP45" s="123">
        <f>AO45*10000000+BI45*100+AM45/AM48*10+AI45/AI48*1++IF(AQ45=0,ROW(),AQ45)/2000000</f>
        <v>59853040.039997302</v>
      </c>
      <c r="AQ45" s="126">
        <f>VLOOKUP(AE45,db_fifarank,2,FALSE)</f>
        <v>1563.24</v>
      </c>
      <c r="AR45" s="125">
        <f>AP45/AP48</f>
        <v>0.99918164032765411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100.5</v>
      </c>
      <c r="BA45" s="126">
        <f>AZ45/AZ48</f>
        <v>0.98529411764705888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100.5</v>
      </c>
      <c r="BI45" s="126">
        <f>BH45/BH48</f>
        <v>0.98529411764705888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74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79"/>
      <c r="CN45" s="180"/>
      <c r="CO45" s="180"/>
      <c r="CP45" s="180"/>
      <c r="CQ45" s="181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New Zealand</v>
      </c>
      <c r="K46" s="23">
        <f>L46+M46+N46</f>
        <v>1</v>
      </c>
      <c r="L46" s="23">
        <f>VLOOKUP(2,AD44:AN47,3,FALSE)</f>
        <v>0</v>
      </c>
      <c r="M46" s="23">
        <f>VLOOKUP(2,AD44:AN47,4,FALSE)</f>
        <v>1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1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1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1</v>
      </c>
      <c r="AO46" s="123">
        <f>AN46/AN48*10+BA46</f>
        <v>5.9901960784313726</v>
      </c>
      <c r="AP46" s="123">
        <f>AO46*10000000+BI46*100+AM46/AM48*10+AI46/AI48*1++IF(AQ46=0,ROW(),AQ46)/2000000</f>
        <v>59902060.47139588</v>
      </c>
      <c r="AQ46" s="126">
        <f>VLOOKUP(AE46,db_fifarank,2,FALSE)</f>
        <v>1615.3</v>
      </c>
      <c r="AR46" s="125">
        <f>AP46/AP48</f>
        <v>0.99999998330608375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2</v>
      </c>
      <c r="AW46" s="126" cm="1">
        <f t="array" ref="AW46">SUMPRODUCT(($E$7:$E$78=AE46)*($U$7:$U$78)*($G$7:$G$78))+SUMPRODUCT(($H$7:$H$78=AE46)*($U$7:$U$78)*($F$7:$F$78))</f>
        <v>2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101</v>
      </c>
      <c r="BA46" s="126">
        <f>AZ46/AZ48</f>
        <v>0.99019607843137258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2</v>
      </c>
      <c r="BE46" s="126" cm="1">
        <f t="array" ref="BE46">SUMPRODUCT(($E$7:$E$78=AE46)*($X$7:$X$78)*($G$7:$G$78))+SUMPRODUCT(($H$7:$H$78=AE46)*($X$7:$X$78)*($F$7:$F$78))</f>
        <v>2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101</v>
      </c>
      <c r="BI46" s="126">
        <f>BH46/BH48</f>
        <v>0.99019607843137258</v>
      </c>
      <c r="BK46" s="173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2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5.9901960784313726</v>
      </c>
      <c r="AP47" s="123">
        <f>AO47*10000000+BI47*100+AM47/AM48*10+AI47/AI48*1++IF(AQ47=0,ROW(),AQ47)/2000000</f>
        <v>59902060.471229017</v>
      </c>
      <c r="AQ47" s="126">
        <f>VLOOKUP(AE47,db_fifarank,2,FALSE)</f>
        <v>1281.57</v>
      </c>
      <c r="AR47" s="125">
        <f>AP47/AP48</f>
        <v>0.99999998330329809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1</v>
      </c>
      <c r="AV47" s="126" cm="1">
        <f t="array" ref="AV47">SUMPRODUCT(($E$7:$E$78=AE47)*($U$7:$U$78)*($F$7:$F$78))+SUMPRODUCT(($H$7:$H$78=AE47)*($U$7:$U$78)*($G$7:$G$78))</f>
        <v>2</v>
      </c>
      <c r="AW47" s="126" cm="1">
        <f t="array" ref="AW47">SUMPRODUCT(($E$7:$E$78=AE47)*($U$7:$U$78)*($G$7:$G$78))+SUMPRODUCT(($H$7:$H$78=AE47)*($U$7:$U$78)*($F$7:$F$78))</f>
        <v>2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101</v>
      </c>
      <c r="BA47" s="126">
        <f>AZ47/AZ48</f>
        <v>0.99019607843137258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1</v>
      </c>
      <c r="BD47" s="126" cm="1">
        <f t="array" ref="BD47">SUMPRODUCT(($E$7:$E$78=AE47)*($X$7:$X$78)*($F$7:$F$78))+SUMPRODUCT(($H$7:$H$78=AE47)*($X$7:$X$78)*($G$7:$G$78))</f>
        <v>2</v>
      </c>
      <c r="BE47" s="126" cm="1">
        <f t="array" ref="BE47">SUMPRODUCT(($E$7:$E$78=AE47)*($X$7:$X$78)*($G$7:$G$78))+SUMPRODUCT(($H$7:$H$78=AE47)*($X$7:$X$78)*($F$7:$F$78))</f>
        <v>2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101</v>
      </c>
      <c r="BI47" s="126">
        <f>BH47/BH48</f>
        <v>0.99019607843137258</v>
      </c>
      <c r="BK47" s="174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2</v>
      </c>
      <c r="AO48" s="123">
        <f>MAX(AO44:AO47)+1</f>
        <v>6.9901960784313726</v>
      </c>
      <c r="AP48" s="123">
        <f>MAX(AP44:AP47)+1</f>
        <v>59902061.47139588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102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102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73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73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74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74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3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1</v>
      </c>
      <c r="AO50" s="123">
        <f>AN50/AN54*10+BA50</f>
        <v>5.985221674876847</v>
      </c>
      <c r="AP50" s="123">
        <f>AO50*10000000+BI50*100+AM50/AM54*10+AI50/AI54*1++IF(AQ50=0,ROW(),AQ50)/2000000</f>
        <v>59852315.27187416</v>
      </c>
      <c r="AQ50" s="126">
        <f>VLOOKUP(AE50,db_fifarank,2,FALSE)</f>
        <v>1876.4</v>
      </c>
      <c r="AR50" s="125">
        <f>AP50/AP54</f>
        <v>0.99917759969584252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1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100</v>
      </c>
      <c r="BA50" s="126">
        <f>AZ50/AZ54</f>
        <v>0.98522167487684731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1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100</v>
      </c>
      <c r="BI50" s="126">
        <f>BH50/BH54</f>
        <v>0.98522167487684731</v>
      </c>
      <c r="BK50" s="173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Uruguay</v>
      </c>
      <c r="K51" s="31">
        <f>L51+M51+N51</f>
        <v>1</v>
      </c>
      <c r="L51" s="31">
        <f>VLOOKUP(1,AD50:AN53,3,FALSE)</f>
        <v>0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1 - 1</v>
      </c>
      <c r="P51" s="32">
        <f>L51*3+M51</f>
        <v>1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1</v>
      </c>
      <c r="AO51" s="123">
        <f>AN51/AN54*10+BA51</f>
        <v>5.985221674876847</v>
      </c>
      <c r="AP51" s="123">
        <f>AO51*10000000+BI51*100+AM51/AM54*10+AI51/AI54*1++IF(AQ51=0,ROW(),AQ51)/2000000</f>
        <v>59852315.271619022</v>
      </c>
      <c r="AQ51" s="126">
        <f>VLOOKUP(AE51,db_fifarank,2,FALSE)</f>
        <v>1366.13</v>
      </c>
      <c r="AR51" s="125">
        <f>AP51/AP54</f>
        <v>0.99917759969158326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100</v>
      </c>
      <c r="BA51" s="126">
        <f>AZ51/AZ54</f>
        <v>0.98522167487684731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100</v>
      </c>
      <c r="BI51" s="126">
        <f>BH51/BH54</f>
        <v>0.98522167487684731</v>
      </c>
      <c r="BK51" s="174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Saudi Arabia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1 - 1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2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0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1</v>
      </c>
      <c r="AL52" s="123">
        <f>AI52-AJ52</f>
        <v>0</v>
      </c>
      <c r="AM52" s="123">
        <f>AL52-AL54</f>
        <v>0</v>
      </c>
      <c r="AN52" s="123">
        <f>AF52*3+AG52</f>
        <v>1</v>
      </c>
      <c r="AO52" s="123">
        <f>AN52/AN54*10+BA52</f>
        <v>5.9901477832512313</v>
      </c>
      <c r="AP52" s="123">
        <f>AO52*10000000+BI52*100+AM52/AM54*10+AI52/AI54*1++IF(AQ52=0,ROW(),AQ52)/2000000</f>
        <v>59901577.348001353</v>
      </c>
      <c r="AQ52" s="126">
        <f>VLOOKUP(AE52,db_fifarank,2,FALSE)</f>
        <v>1421.43</v>
      </c>
      <c r="AR52" s="125">
        <f>AP52/AP54</f>
        <v>0.99999998330384865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100.5</v>
      </c>
      <c r="BA52" s="126">
        <f>AZ52/AZ54</f>
        <v>0.99014778325123154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100.5</v>
      </c>
      <c r="BI52" s="126">
        <f>BH52/BH54</f>
        <v>0.99014778325123154</v>
      </c>
      <c r="BK52" s="21"/>
      <c r="BL52" s="21"/>
      <c r="BM52" s="21"/>
      <c r="BN52" s="21"/>
      <c r="BO52" s="21"/>
      <c r="BP52" s="114"/>
      <c r="BQ52" s="112"/>
      <c r="BR52" s="173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Spain</v>
      </c>
      <c r="K53" s="23">
        <f>L53+M53+N53</f>
        <v>1</v>
      </c>
      <c r="L53" s="23">
        <f>VLOOKUP(3,AD50:AN53,3,FALSE)</f>
        <v>0</v>
      </c>
      <c r="M53" s="23">
        <f>VLOOKUP(3,AD50:AN53,4,FALSE)</f>
        <v>1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1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1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1</v>
      </c>
      <c r="AH53" s="123">
        <f>COUNTIF($S$7:$T$78,"=" &amp; AE53 &amp; "_lose")</f>
        <v>0</v>
      </c>
      <c r="AI53" s="123">
        <f>SUMIF($E$7:$E$78,$AE53,$F$7:$F$78) + SUMIF($H$7:$H$78,$AE53,$G$7:$G$78)</f>
        <v>1</v>
      </c>
      <c r="AJ53" s="123">
        <f>SUMIF($E$7:$E$78,$AE53,$G$7:$G$78) + SUMIF($H$7:$H$78,$AE53,$F$7:$F$78)</f>
        <v>1</v>
      </c>
      <c r="AL53" s="123">
        <f>AI53-AJ53</f>
        <v>0</v>
      </c>
      <c r="AM53" s="123">
        <f>AL53-AL54</f>
        <v>0</v>
      </c>
      <c r="AN53" s="123">
        <f>AF53*3+AG53</f>
        <v>1</v>
      </c>
      <c r="AO53" s="123">
        <f>AN53/AN54*10+BA53</f>
        <v>5.9901477832512313</v>
      </c>
      <c r="AP53" s="123">
        <f>AO53*10000000+BI53*100+AM53/AM54*10+AI53/AI54*1++IF(AQ53=0,ROW(),AQ53)/2000000</f>
        <v>59901577.348127171</v>
      </c>
      <c r="AQ53" s="126">
        <f>VLOOKUP(AE53,db_fifarank,2,FALSE)</f>
        <v>1673.07</v>
      </c>
      <c r="AR53" s="125">
        <f>AP53/AP54</f>
        <v>0.99999998330594908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100.5</v>
      </c>
      <c r="BA53" s="126">
        <f>AZ53/AZ54</f>
        <v>0.99014778325123154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100.5</v>
      </c>
      <c r="BI53" s="126">
        <f>BH53/BH54</f>
        <v>0.99014778325123154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74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1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2</v>
      </c>
      <c r="AL54" s="123">
        <f>MIN(AL50:AL53)</f>
        <v>0</v>
      </c>
      <c r="AM54" s="123">
        <f>MAX(AM50:AM53)+1</f>
        <v>1</v>
      </c>
      <c r="AN54" s="123">
        <f>MAX(AN50:AN53)+1</f>
        <v>2</v>
      </c>
      <c r="AO54" s="123">
        <f>MAX(AO50:AO53)+1</f>
        <v>6.9901477832512313</v>
      </c>
      <c r="AP54" s="123">
        <f>MAX(AP50:AP53)+1</f>
        <v>59901578.348127171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101.5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101.5</v>
      </c>
      <c r="BK54" s="173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74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73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5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75000007.743795797</v>
      </c>
      <c r="AQ56" s="126">
        <f>VLOOKUP(AE56,db_fifarank,2,FALSE)</f>
        <v>1877.32</v>
      </c>
      <c r="AR56" s="125">
        <f>AP56/AP60</f>
        <v>0.99999996495456167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74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4 - 1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1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1.6294159235714283</v>
      </c>
      <c r="AQ57" s="126">
        <f>VLOOKUP(AE57,db_fifarank,2,FALSE)</f>
        <v>1688.99</v>
      </c>
      <c r="AR57" s="125">
        <f>AP57/AP60</f>
        <v>2.172554264306223E-8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4</v>
      </c>
      <c r="AL58" s="123">
        <f>AI58-AJ58</f>
        <v>-3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0.20072357000000002</v>
      </c>
      <c r="AQ58" s="126">
        <f>VLOOKUP(AE58,db_fifarank,2,FALSE)</f>
        <v>1447.14</v>
      </c>
      <c r="AR58" s="125">
        <f>AP58/AP60</f>
        <v>2.6763138965430164E-9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73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1</v>
      </c>
      <c r="AL59" s="123">
        <f>AI59-AJ59</f>
        <v>3</v>
      </c>
      <c r="AM59" s="123">
        <f>AL59-AL60</f>
        <v>6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75000009.372204036</v>
      </c>
      <c r="AQ59" s="126">
        <f>VLOOKUP(AE59,db_fifarank,2,FALSE)</f>
        <v>1550.94</v>
      </c>
      <c r="AR59" s="125">
        <f>AP59/AP60</f>
        <v>0.99999998666666856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74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1 - 4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5</v>
      </c>
      <c r="AL60" s="123">
        <f>MIN(AL56:AL59)</f>
        <v>-3</v>
      </c>
      <c r="AM60" s="123">
        <f>MAX(AM56:AM59)+1</f>
        <v>7</v>
      </c>
      <c r="AN60" s="123">
        <f>MAX(AN56:AN59)+1</f>
        <v>4</v>
      </c>
      <c r="AO60" s="123">
        <f>MAX(AO56:AO59)+1</f>
        <v>8.5</v>
      </c>
      <c r="AP60" s="123">
        <f>MAX(AP56:AP59)+1</f>
        <v>75000010.372204036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73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74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1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3</v>
      </c>
      <c r="AJ62" s="123">
        <f>SUMIF($E$7:$E$78,$AE62,$G$7:$G$78) + SUMIF($H$7:$H$78,$AE62,$F$7:$F$78)</f>
        <v>0</v>
      </c>
      <c r="AL62" s="123">
        <f>AI62-AJ62</f>
        <v>3</v>
      </c>
      <c r="AM62" s="123">
        <f>AL62-AL66</f>
        <v>6</v>
      </c>
      <c r="AN62" s="123">
        <f>AF62*3+AG62</f>
        <v>3</v>
      </c>
      <c r="AO62" s="123">
        <f>AN62/AN66*10+BA62</f>
        <v>7.5</v>
      </c>
      <c r="AP62" s="123">
        <f>AO62*10000000+BI62*100+AM62/AM66*10+AI62/AI66*1++IF(AQ62=0,ROW(),AQ62)/2000000</f>
        <v>75000009.322365984</v>
      </c>
      <c r="AQ62" s="126">
        <f>VLOOKUP(AE62,db_fifarank,2,FALSE)</f>
        <v>1874.82</v>
      </c>
      <c r="AR62" s="125">
        <f>AP62/AP66</f>
        <v>0.99999998666666845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73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1</v>
      </c>
      <c r="L63" s="31">
        <f>VLOOKUP(1,AD62:AN65,3,FALSE)</f>
        <v>1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3 - 0</v>
      </c>
      <c r="P63" s="32">
        <f>L63*3+M63</f>
        <v>3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4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3</v>
      </c>
      <c r="AL63" s="123">
        <f>AI63-AJ63</f>
        <v>-3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1.0428398564723378E-11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74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1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3 - 1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1</v>
      </c>
      <c r="AL64" s="123">
        <f>AI64-AJ64</f>
        <v>2</v>
      </c>
      <c r="AM64" s="123">
        <f>AL64-AL66</f>
        <v>5</v>
      </c>
      <c r="AN64" s="123">
        <f>AF64*3+AG64</f>
        <v>3</v>
      </c>
      <c r="AO64" s="123">
        <f>AN64/AN66*10+BA64</f>
        <v>7.5</v>
      </c>
      <c r="AP64" s="123">
        <f>AO64*10000000+BI64*100+AM64/AM66*10+AI64/AI66*1++IF(AQ64=0,ROW(),AQ64)/2000000</f>
        <v>75000007.89365387</v>
      </c>
      <c r="AQ64" s="126">
        <f>VLOOKUP(AE64,db_fifarank,2,FALSE)</f>
        <v>1593.45</v>
      </c>
      <c r="AR64" s="125">
        <f>AP64/AP66</f>
        <v>0.99999996761717624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73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1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1 - 3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1</v>
      </c>
      <c r="AI65" s="123">
        <f>SUMIF($E$7:$E$78,$AE65,$F$7:$F$78) + SUMIF($H$7:$H$78,$AE65,$G$7:$G$78)</f>
        <v>1</v>
      </c>
      <c r="AJ65" s="123">
        <f>SUMIF($E$7:$E$78,$AE65,$G$7:$G$78) + SUMIF($H$7:$H$78,$AE65,$F$7:$F$78)</f>
        <v>3</v>
      </c>
      <c r="AL65" s="123">
        <f>AI65-AJ65</f>
        <v>-2</v>
      </c>
      <c r="AM65" s="123">
        <f>AL65-AL66</f>
        <v>1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1.6792671535714283</v>
      </c>
      <c r="AQ65" s="126">
        <f>VLOOKUP(AE65,db_fifarank,2,FALSE)</f>
        <v>1391.45</v>
      </c>
      <c r="AR65" s="125">
        <f>AP65/AP66</f>
        <v>2.2390225632684331E-8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74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Algeria</v>
      </c>
      <c r="K66" s="36">
        <f>L66+M66+N66</f>
        <v>1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1</v>
      </c>
      <c r="O66" s="36" t="str">
        <f>VLOOKUP(4,AD62:AN65,6,FALSE) &amp; " - " &amp; VLOOKUP(4,AD62:AN65,7,FALSE)</f>
        <v>0 - 3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2</v>
      </c>
      <c r="AG66" s="123">
        <f t="shared" si="28"/>
        <v>1</v>
      </c>
      <c r="AH66" s="123">
        <f t="shared" si="28"/>
        <v>2</v>
      </c>
      <c r="AI66" s="123">
        <f>MAX(AI62:AI65)+1</f>
        <v>4</v>
      </c>
      <c r="AL66" s="123">
        <f>MIN(AL62:AL65)</f>
        <v>-3</v>
      </c>
      <c r="AM66" s="123">
        <f>MAX(AM62:AM65)+1</f>
        <v>7</v>
      </c>
      <c r="AN66" s="123">
        <f>MAX(AN62:AN65)+1</f>
        <v>4</v>
      </c>
      <c r="AO66" s="123">
        <f>MAX(AO62:AO65)+1</f>
        <v>8.5</v>
      </c>
      <c r="AP66" s="123">
        <f>MAX(AP62:AP65)+1</f>
        <v>75000010.322365984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73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74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1</v>
      </c>
      <c r="AJ68" s="123">
        <f>SUMIF($E$7:$E$78,$AE68,$G$7:$G$78) + SUMIF($H$7:$H$78,$AE68,$F$7:$F$78)</f>
        <v>1</v>
      </c>
      <c r="AL68" s="123">
        <f>AI68-AJ68</f>
        <v>0</v>
      </c>
      <c r="AM68" s="123">
        <f>AL68-AL72</f>
        <v>2</v>
      </c>
      <c r="AN68" s="123">
        <f>AF68*3+AG68</f>
        <v>1</v>
      </c>
      <c r="AO68" s="123">
        <f>AN68/AN72*10+BA68</f>
        <v>3.4805825242718447</v>
      </c>
      <c r="AP68" s="123">
        <f>AO68*10000000+BI68*100+AM68/AM72*10+AI68/AI72*1++IF(AQ68=0,ROW(),AQ68)/2000000</f>
        <v>34805927.551852785</v>
      </c>
      <c r="AQ68" s="126">
        <f>VLOOKUP(AE68,db_fifarank,2,FALSE)</f>
        <v>1763.83</v>
      </c>
      <c r="AR68" s="125">
        <f>AP68/AP72</f>
        <v>0.46407897368919898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1</v>
      </c>
      <c r="AV68" s="126" cm="1">
        <f t="array" ref="AV68">SUMPRODUCT(($E$7:$E$78=AE68)*($U$7:$U$78)*($F$7:$F$78))+SUMPRODUCT(($H$7:$H$78=AE68)*($U$7:$U$78)*($G$7:$G$78))</f>
        <v>1</v>
      </c>
      <c r="AW68" s="126" cm="1">
        <f t="array" ref="AW68">SUMPRODUCT(($E$7:$E$78=AE68)*($U$7:$U$78)*($G$7:$G$78))+SUMPRODUCT(($H$7:$H$78=AE68)*($U$7:$U$78)*($F$7:$F$78))</f>
        <v>1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50.5</v>
      </c>
      <c r="BA68" s="126">
        <f>AZ68/AZ72</f>
        <v>0.98058252427184467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1</v>
      </c>
      <c r="BD68" s="126" cm="1">
        <f t="array" ref="BD68">SUMPRODUCT(($E$7:$E$78=AE68)*($X$7:$X$78)*($F$7:$F$78))+SUMPRODUCT(($H$7:$H$78=AE68)*($X$7:$X$78)*($G$7:$G$78))</f>
        <v>1</v>
      </c>
      <c r="BE68" s="126" cm="1">
        <f t="array" ref="BE68">SUMPRODUCT(($E$7:$E$78=AE68)*($X$7:$X$78)*($G$7:$G$78))+SUMPRODUCT(($H$7:$H$78=AE68)*($X$7:$X$78)*($F$7:$F$78))</f>
        <v>1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50.5</v>
      </c>
      <c r="BI68" s="126">
        <f>BH68/BH72</f>
        <v>0.98058252427184467</v>
      </c>
      <c r="BK68" s="21"/>
      <c r="BL68" s="21"/>
      <c r="BM68" s="21"/>
      <c r="BN68" s="21"/>
      <c r="BO68" s="21"/>
      <c r="BP68" s="114"/>
      <c r="BQ68" s="112"/>
      <c r="BR68" s="173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75" t="str">
        <f>INDEX(T,144,lang)</f>
        <v>World Champion 2026</v>
      </c>
      <c r="CF68" s="175"/>
      <c r="CG68" s="175"/>
      <c r="CH68" s="175"/>
      <c r="CI68" s="175"/>
      <c r="CJ68" s="175"/>
      <c r="CK68" s="163" t="str">
        <f>IF(CR37&gt;CR38,CN37,IF(CR37&lt;CR38,CN38,""))</f>
        <v/>
      </c>
      <c r="CL68" s="163"/>
      <c r="CM68" s="163"/>
      <c r="CN68" s="163"/>
      <c r="CO68" s="163"/>
      <c r="CP68" s="163"/>
      <c r="CQ68" s="163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1</v>
      </c>
      <c r="L69" s="31">
        <f>VLOOKUP(1,AD68:AN71,3,FALSE)</f>
        <v>1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3 - 1</v>
      </c>
      <c r="P69" s="32">
        <f>L69*3+M69</f>
        <v>3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2</v>
      </c>
      <c r="AN69" s="123">
        <f>AF69*3+AG69</f>
        <v>1</v>
      </c>
      <c r="AO69" s="123">
        <f>AN69/AN72*10+BA69</f>
        <v>3.4805825242718447</v>
      </c>
      <c r="AP69" s="123">
        <f>AO69*10000000+BI69*100+AM69/AM72*10+AI69/AI72*1++IF(AQ69=0,ROW(),AQ69)/2000000</f>
        <v>34805927.551710039</v>
      </c>
      <c r="AQ69" s="126">
        <f>VLOOKUP(AE69,db_fifarank,2,FALSE)</f>
        <v>1478.35</v>
      </c>
      <c r="AR69" s="125">
        <f>AP69/AP72</f>
        <v>0.46407897368729573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1</v>
      </c>
      <c r="AW69" s="126" cm="1">
        <f t="array" ref="AW69">SUMPRODUCT(($E$7:$E$78=AE69)*($U$7:$U$78)*($G$7:$G$78))+SUMPRODUCT(($H$7:$H$78=AE69)*($U$7:$U$78)*($F$7:$F$78))</f>
        <v>1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50.5</v>
      </c>
      <c r="BA69" s="126">
        <f>AZ69/AZ72</f>
        <v>0.98058252427184467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1</v>
      </c>
      <c r="BE69" s="126" cm="1">
        <f t="array" ref="BE69">SUMPRODUCT(($E$7:$E$78=AE69)*($X$7:$X$78)*($G$7:$G$78))+SUMPRODUCT(($H$7:$H$78=AE69)*($X$7:$X$78)*($F$7:$F$78))</f>
        <v>1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50.5</v>
      </c>
      <c r="BI69" s="126">
        <f>BH69/BH72</f>
        <v>0.98058252427184467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74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75"/>
      <c r="CF69" s="175"/>
      <c r="CG69" s="175"/>
      <c r="CH69" s="175"/>
      <c r="CI69" s="175"/>
      <c r="CJ69" s="175"/>
      <c r="CK69" s="163"/>
      <c r="CL69" s="163"/>
      <c r="CM69" s="163"/>
      <c r="CN69" s="163"/>
      <c r="CO69" s="163"/>
      <c r="CP69" s="163"/>
      <c r="CQ69" s="163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1</v>
      </c>
      <c r="L70" s="23">
        <f>VLOOKUP(2,AD68:AN71,3,FALSE)</f>
        <v>0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1 - 1</v>
      </c>
      <c r="P70" s="34">
        <f>L70*3+M70</f>
        <v>1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1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3</v>
      </c>
      <c r="AL70" s="123">
        <f>AI70-AJ70</f>
        <v>-2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0.25073266999999999</v>
      </c>
      <c r="AQ70" s="126">
        <f>VLOOKUP(AE70,db_fifarank,2,FALSE)</f>
        <v>1465.34</v>
      </c>
      <c r="AR70" s="125">
        <f>AP70/AP72</f>
        <v>3.3431018320256936E-9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73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1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0</v>
      </c>
      <c r="O71" s="23" t="str">
        <f>VLOOKUP(3,AD68:AN71,6,FALSE) &amp; " - " &amp; VLOOKUP(3,AD68:AN71,7,FALSE)</f>
        <v>1 - 1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3</v>
      </c>
      <c r="AJ71" s="123">
        <f>SUMIF($E$7:$E$78,$AE71,$G$7:$G$78) + SUMIF($H$7:$H$78,$AE71,$F$7:$F$78)</f>
        <v>1</v>
      </c>
      <c r="AL71" s="123">
        <f>AI71-AJ71</f>
        <v>2</v>
      </c>
      <c r="AM71" s="123">
        <f>AL71-AL72</f>
        <v>4</v>
      </c>
      <c r="AN71" s="123">
        <f>AF71*3+AG71</f>
        <v>3</v>
      </c>
      <c r="AO71" s="123">
        <f>AN71/AN72*10+BA71</f>
        <v>7.5</v>
      </c>
      <c r="AP71" s="123">
        <f>AO71*10000000+BI71*100+AM71/AM72*10+AI71/AI72*1++IF(AQ71=0,ROW(),AQ71)/2000000</f>
        <v>75000008.75084655</v>
      </c>
      <c r="AQ71" s="126">
        <f>VLOOKUP(AE71,db_fifarank,2,FALSE)</f>
        <v>1693.09</v>
      </c>
      <c r="AR71" s="125">
        <f>AP71/AP72</f>
        <v>0.99999998666666845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74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1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1</v>
      </c>
      <c r="O72" s="36" t="str">
        <f>VLOOKUP(4,AD68:AN71,6,FALSE) &amp; " - " &amp; VLOOKUP(4,AD68:AN71,7,FALSE)</f>
        <v>1 - 3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2</v>
      </c>
      <c r="AI72" s="123">
        <f>MAX(AI68:AI71)+1</f>
        <v>4</v>
      </c>
      <c r="AL72" s="123">
        <f>MIN(AL68:AL71)</f>
        <v>-2</v>
      </c>
      <c r="AM72" s="123">
        <f>MAX(AM68:AM71)+1</f>
        <v>5</v>
      </c>
      <c r="AN72" s="123">
        <f>MAX(AN68:AN71)+1</f>
        <v>4</v>
      </c>
      <c r="AO72" s="123">
        <f>MAX(AO68:AO71)+1</f>
        <v>8.5</v>
      </c>
      <c r="AP72" s="123">
        <f>MAX(AP68:AP71)+1</f>
        <v>75000009.75084655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2</v>
      </c>
      <c r="AW72" s="126">
        <f>MAX(AW68:AW71)-MIN(AW68:AW71)+1</f>
        <v>2</v>
      </c>
      <c r="AY72" s="126">
        <f>MAX(AY68:AY71)-MIN(AY68:AY71)+1</f>
        <v>1</v>
      </c>
      <c r="AZ72" s="126">
        <f>MAX(AZ68:AZ71)+1</f>
        <v>51.5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2</v>
      </c>
      <c r="BE72" s="126">
        <f>MAX(BE68:BE71)-MIN(BE68:BE71)+1</f>
        <v>2</v>
      </c>
      <c r="BG72" s="126">
        <f>MAX(BG68:BG71)-MIN(BG68:BG71)+1</f>
        <v>1</v>
      </c>
      <c r="BH72" s="126">
        <f>MAX(BH68:BH71)+1</f>
        <v>51.5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3</v>
      </c>
      <c r="AO74" s="123">
        <f>AN74/AN78*10+BA74</f>
        <v>7.5</v>
      </c>
      <c r="AP74" s="123">
        <f>AO74*10000000+BI74*100+AM74/AM78*10+AI74/AI78*1++IF(AQ74=0,ROW(),AQ74)/2000000</f>
        <v>75000008.800912976</v>
      </c>
      <c r="AQ74" s="126">
        <f>VLOOKUP(AE74,db_fifarank,2,FALSE)</f>
        <v>1825.97</v>
      </c>
      <c r="AR74" s="125">
        <f>AP74/AP78</f>
        <v>0.99999998666666845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1</v>
      </c>
      <c r="L75" s="31">
        <f>VLOOKUP(1,AD74:AN77,3,FALSE)</f>
        <v>1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3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5.3447797682170484E-9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1</v>
      </c>
      <c r="L76" s="23">
        <f>VLOOKUP(2,AD74:AN77,3,FALSE)</f>
        <v>1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3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3</v>
      </c>
      <c r="AO76" s="123">
        <f>AN76/AN78*10+BA76</f>
        <v>7.5</v>
      </c>
      <c r="AP76" s="123">
        <f>AO76*10000000+BI76*100+AM76/AM78*10+AI76/AI78*1++IF(AQ76=0,ROW(),AQ76)/2000000</f>
        <v>75000006.200673163</v>
      </c>
      <c r="AQ76" s="126">
        <f>VLOOKUP(AE76,db_fifarank,2,FALSE)</f>
        <v>1346.31</v>
      </c>
      <c r="AR76" s="125">
        <f>AP76/AP78</f>
        <v>0.9999999519968088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1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0 - 1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1</v>
      </c>
      <c r="AL77" s="123">
        <f>AI77-AJ77</f>
        <v>-1</v>
      </c>
      <c r="AM77" s="123">
        <f>AL77-AL78</f>
        <v>1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2.00077032</v>
      </c>
      <c r="AQ77" s="126">
        <f>VLOOKUP(AE77,db_fifarank,2,FALSE)</f>
        <v>1540.64</v>
      </c>
      <c r="AR77" s="125">
        <f>AP77/AP78</f>
        <v>2.6676934113889205E-8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4</v>
      </c>
      <c r="AO78" s="123">
        <f>MAX(AO74:AO77)+1</f>
        <v>8.5</v>
      </c>
      <c r="AP78" s="123">
        <f>MAX(AP74:AP77)+1</f>
        <v>75000009.800912976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6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1</v>
      </c>
      <c r="AP80" s="123">
        <f>AN80/AN92*10000+AM80/AM92*1000+AI80/AI92*100+IF(AQ80=0,ROW(),AQ80)/2000000</f>
        <v>5566.6674173566671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Japan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2 - 2</v>
      </c>
      <c r="P81" s="98">
        <f>L81*3+M81</f>
        <v>1</v>
      </c>
      <c r="AD81" s="123">
        <f t="shared" ref="AD81:AD91" si="38">COUNTIF($AP$80:$AP$91,CONCATENATE("&gt;=",AP81))</f>
        <v>7</v>
      </c>
      <c r="AE81" s="124" t="str">
        <f>J17</f>
        <v>Bosnia and Herzegovina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2</v>
      </c>
      <c r="AJ81" s="123">
        <f t="shared" ref="AJ81:AJ90" si="42">VLOOKUP($AE81,$AE$8:$AQ$78,6,FALSE)</f>
        <v>5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0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5066.6673595866669</v>
      </c>
      <c r="AQ81" s="126">
        <f t="shared" si="37"/>
        <v>1385.84</v>
      </c>
      <c r="AR81" s="125" t="str">
        <f>AR80&amp;IF(AD81&lt;=8,RIGHT(AK81,1),"")</f>
        <v>AB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Morocco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2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3</v>
      </c>
      <c r="AN82" s="123">
        <f t="shared" si="45"/>
        <v>1</v>
      </c>
      <c r="AP82" s="123">
        <f>AN82/AN92*10000+AM82/AM92*1000+AI82/AI92*100+IF(AQ82=0,ROW(),AQ82)/2000000</f>
        <v>5783.3342112683331</v>
      </c>
      <c r="AQ82" s="126">
        <f t="shared" si="37"/>
        <v>1755.87</v>
      </c>
      <c r="AR82" s="125" t="str">
        <f t="shared" ref="AR82:AR91" si="50">AR81&amp;IF(AD82&lt;=8,RIGHT(AK82,1),"")</f>
        <v>ABC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">
      <c r="A83" s="73"/>
      <c r="B83" s="73"/>
      <c r="C83" s="164" t="s">
        <v>3183</v>
      </c>
      <c r="D83" s="165"/>
      <c r="E83" s="165"/>
      <c r="F83" s="165"/>
      <c r="G83" s="166"/>
      <c r="H83" s="75"/>
      <c r="I83" s="69"/>
      <c r="J83" s="99" t="str">
        <f>VLOOKUP(3,$AD$80:$AT$91,17,FALSE)</f>
        <v>Ⓖ Belgium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1 - 1</v>
      </c>
      <c r="P83" s="101">
        <f t="shared" si="48"/>
        <v>1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0</v>
      </c>
      <c r="AP83" s="123">
        <f>AN83/AN92*10000+AM83/AM92*1000+AI83/AI92*100+IF(AQ83=0,ROW(),AQ83)/2000000</f>
        <v>250.00079951999999</v>
      </c>
      <c r="AQ83" s="126">
        <f t="shared" si="37"/>
        <v>1599.04</v>
      </c>
      <c r="AR83" s="125" t="str">
        <f t="shared" si="50"/>
        <v>ABC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">
      <c r="A84" s="73"/>
      <c r="B84" s="73"/>
      <c r="C84" s="167"/>
      <c r="D84" s="168"/>
      <c r="E84" s="168"/>
      <c r="F84" s="168"/>
      <c r="G84" s="169"/>
      <c r="H84" s="75"/>
      <c r="I84" s="69"/>
      <c r="J84" s="99" t="str">
        <f>VLOOKUP(4,$AD$80:$AT$91,17,FALSE)</f>
        <v>Ⓚ DR Congo</v>
      </c>
      <c r="K84" s="100">
        <f t="shared" si="47"/>
        <v>1</v>
      </c>
      <c r="L84" s="100">
        <f>VLOOKUP(4,$AD$80:$AN$91,3,FALSE)</f>
        <v>0</v>
      </c>
      <c r="M84" s="100">
        <f>VLOOKUP(4,$AD$80:$AN$91,4,FALSE)</f>
        <v>1</v>
      </c>
      <c r="N84" s="100">
        <f>VLOOKUP(4,$AD$80:$AN$91,5,FALSE)</f>
        <v>0</v>
      </c>
      <c r="O84" s="100" t="str">
        <f>VLOOKUP(4,$AD$80:$AN$91,6,FALSE) &amp; " - " &amp; VLOOKUP(4,$AD$80:$AN$91,7,FALSE)</f>
        <v>1 - 1</v>
      </c>
      <c r="P84" s="101">
        <f t="shared" si="48"/>
        <v>1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8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2</v>
      </c>
      <c r="AN84" s="123">
        <f t="shared" si="45"/>
        <v>0</v>
      </c>
      <c r="AP84" s="123">
        <f>AN84/AN92*10000+AM84/AM92*1000+AI84/AI92*100+IF(AQ84=0,ROW(),AQ84)/2000000</f>
        <v>500.00079739</v>
      </c>
      <c r="AQ84" s="126">
        <f t="shared" si="37"/>
        <v>1594.78</v>
      </c>
      <c r="AR84" s="125" t="str">
        <f t="shared" si="50"/>
        <v>ABCE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67"/>
      <c r="D85" s="168"/>
      <c r="E85" s="168"/>
      <c r="F85" s="168"/>
      <c r="G85" s="169"/>
      <c r="H85" s="75"/>
      <c r="I85" s="69"/>
      <c r="J85" s="99" t="str">
        <f>VLOOKUP(5,$AD$80:$AT$91,17,FALSE)</f>
        <v>Ⓗ Spain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1</v>
      </c>
      <c r="AP85" s="123">
        <f>AN85/AN92*10000+AM85/AM92*1000+AI85/AI92*100+IF(AQ85=0,ROW(),AQ85)/2000000</f>
        <v>5816.6674968816669</v>
      </c>
      <c r="AQ85" s="126">
        <f t="shared" si="37"/>
        <v>1660.43</v>
      </c>
      <c r="AR85" s="125" t="str">
        <f t="shared" si="50"/>
        <v>ABCEF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">
      <c r="A86" s="73"/>
      <c r="B86" s="73"/>
      <c r="C86" s="167"/>
      <c r="D86" s="168"/>
      <c r="E86" s="168"/>
      <c r="F86" s="168"/>
      <c r="G86" s="169"/>
      <c r="H86" s="75"/>
      <c r="I86" s="69"/>
      <c r="J86" s="99" t="str">
        <f>VLOOKUP(6,$AD$80:$AT$91,17,FALSE)</f>
        <v>Ⓐ Czech Republic</v>
      </c>
      <c r="K86" s="100">
        <f t="shared" si="47"/>
        <v>2</v>
      </c>
      <c r="L86" s="100">
        <f>VLOOKUP(6,$AD$80:$AN$91,3,FALSE)</f>
        <v>0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2 - 3</v>
      </c>
      <c r="P86" s="101">
        <f t="shared" si="48"/>
        <v>1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3</v>
      </c>
      <c r="AE86" s="124" t="str">
        <f>J47</f>
        <v>Belgium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1</v>
      </c>
      <c r="AP86" s="123">
        <f>AN86/AN92*10000+AM86/AM92*1000+AI86/AI92*100+IF(AQ86=0,ROW(),AQ86)/2000000</f>
        <v>5783.3342006883331</v>
      </c>
      <c r="AQ86" s="126">
        <f t="shared" si="37"/>
        <v>1734.71</v>
      </c>
      <c r="AR86" s="125" t="str">
        <f t="shared" si="50"/>
        <v>ABCEFG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">
      <c r="A87" s="73"/>
      <c r="B87" s="73"/>
      <c r="C87" s="167"/>
      <c r="D87" s="168"/>
      <c r="E87" s="168"/>
      <c r="F87" s="168"/>
      <c r="G87" s="169"/>
      <c r="H87" s="75"/>
      <c r="I87" s="69"/>
      <c r="J87" s="99" t="str">
        <f>VLOOKUP(7,$AD$80:$AT$91,17,FALSE)</f>
        <v>Ⓑ Bosnia and Herzegovina</v>
      </c>
      <c r="K87" s="100">
        <f t="shared" si="47"/>
        <v>2</v>
      </c>
      <c r="L87" s="100">
        <f>VLOOKUP(7,$AD$80:$AN$91,3,FALSE)</f>
        <v>0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2 - 5</v>
      </c>
      <c r="P87" s="101">
        <f t="shared" si="48"/>
        <v>1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5</v>
      </c>
      <c r="AE87" s="124" t="str">
        <f>J53</f>
        <v>Spain</v>
      </c>
      <c r="AF87" s="123">
        <f t="shared" si="39"/>
        <v>0</v>
      </c>
      <c r="AG87" s="123">
        <f t="shared" si="49"/>
        <v>1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1</v>
      </c>
      <c r="AP87" s="123">
        <f>AN87/AN92*10000+AM87/AM92*1000+AI87/AI92*100+IF(AQ87=0,ROW(),AQ87)/2000000</f>
        <v>5750.0009381999998</v>
      </c>
      <c r="AQ87" s="126">
        <f t="shared" si="37"/>
        <v>1876.4</v>
      </c>
      <c r="AR87" s="125" t="str">
        <f t="shared" si="50"/>
        <v>ABCEFGH</v>
      </c>
      <c r="AS87" s="129" t="str">
        <f t="shared" si="46"/>
        <v>Spain</v>
      </c>
      <c r="AT87" s="130" t="str">
        <f>"Ⓗ "&amp;AE87</f>
        <v>Ⓗ Spain</v>
      </c>
    </row>
    <row r="88" spans="1:46" ht="15" customHeight="1" x14ac:dyDescent="0.2">
      <c r="A88" s="73"/>
      <c r="B88" s="73"/>
      <c r="C88" s="170"/>
      <c r="D88" s="171"/>
      <c r="E88" s="171"/>
      <c r="F88" s="171"/>
      <c r="G88" s="172"/>
      <c r="H88" s="75"/>
      <c r="I88" s="69"/>
      <c r="J88" s="99" t="str">
        <f>VLOOKUP(8,$AD$80:$AT$91,17,FALSE)</f>
        <v>Ⓔ Ecuador</v>
      </c>
      <c r="K88" s="100">
        <f t="shared" si="47"/>
        <v>1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1</v>
      </c>
      <c r="O88" s="100" t="str">
        <f>VLOOKUP(8,$AD$80:$AN$91,6,FALSE) &amp; " - " &amp; VLOOKUP(8,$AD$80:$AN$91,7,FALSE)</f>
        <v>0 - 1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10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1</v>
      </c>
      <c r="AN88" s="123">
        <f t="shared" si="45"/>
        <v>0</v>
      </c>
      <c r="AP88" s="123">
        <f>AN88/AN92*10000+AM88/AM92*1000+AI88/AI92*100+IF(AQ88=0,ROW(),AQ88)/2000000</f>
        <v>283.33417782833334</v>
      </c>
      <c r="AQ88" s="126">
        <f t="shared" si="37"/>
        <v>1688.99</v>
      </c>
      <c r="AR88" s="125" t="str">
        <f t="shared" si="50"/>
        <v>ABCEFGH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Ⓛ Panama</v>
      </c>
      <c r="K89" s="103">
        <f t="shared" si="47"/>
        <v>1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1</v>
      </c>
      <c r="O89" s="103" t="str">
        <f>VLOOKUP(9,$AD$80:$AN$91,6,FALSE) &amp; " - " &amp; VLOOKUP(9,$AD$80:$AN$91,7,FALSE)</f>
        <v>0 - 1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11</v>
      </c>
      <c r="AE89" s="124" t="str">
        <f>J65</f>
        <v>Jordan</v>
      </c>
      <c r="AF89" s="123">
        <f t="shared" si="39"/>
        <v>0</v>
      </c>
      <c r="AG89" s="123">
        <f t="shared" si="49"/>
        <v>0</v>
      </c>
      <c r="AH89" s="123">
        <f t="shared" si="40"/>
        <v>1</v>
      </c>
      <c r="AI89" s="123">
        <f t="shared" si="41"/>
        <v>1</v>
      </c>
      <c r="AJ89" s="123">
        <f t="shared" si="42"/>
        <v>3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0</v>
      </c>
      <c r="AP89" s="123">
        <f>AN89/AN92*10000+AM89/AM92*1000+AI89/AI92*100+IF(AQ89=0,ROW(),AQ89)/2000000</f>
        <v>283.33402905833333</v>
      </c>
      <c r="AQ89" s="126">
        <f t="shared" si="37"/>
        <v>1391.45</v>
      </c>
      <c r="AR89" s="125" t="str">
        <f t="shared" si="50"/>
        <v>ABCEFGH</v>
      </c>
      <c r="AS89" s="129" t="str">
        <f t="shared" si="46"/>
        <v/>
      </c>
      <c r="AT89" s="130" t="str">
        <f>"Ⓙ "&amp;AE89</f>
        <v>Ⓙ Jordan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Ⓘ Senegal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1 - 3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4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0</v>
      </c>
      <c r="AI90" s="123">
        <f t="shared" si="41"/>
        <v>1</v>
      </c>
      <c r="AJ90" s="123">
        <f t="shared" si="42"/>
        <v>1</v>
      </c>
      <c r="AK90" s="123" t="s">
        <v>3191</v>
      </c>
      <c r="AL90" s="123">
        <f t="shared" si="43"/>
        <v>0</v>
      </c>
      <c r="AM90" s="123">
        <f t="shared" si="44"/>
        <v>3</v>
      </c>
      <c r="AN90" s="123">
        <f t="shared" si="45"/>
        <v>1</v>
      </c>
      <c r="AP90" s="123">
        <f>AN90/AN92*10000+AM90/AM92*1000+AI90/AI92*100+IF(AQ90=0,ROW(),AQ90)/2000000</f>
        <v>5783.3340725083326</v>
      </c>
      <c r="AQ90" s="126">
        <f t="shared" si="37"/>
        <v>1478.35</v>
      </c>
      <c r="AR90" s="125" t="str">
        <f t="shared" si="50"/>
        <v>ABCEFGHK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Ⓙ Jordan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9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0</v>
      </c>
      <c r="AJ91" s="123">
        <f>VLOOKUP($AE91,$AE$8:$AQ$78,6,FALSE)</f>
        <v>1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ABCEFGHK</v>
      </c>
      <c r="AS91" s="129" t="str">
        <f t="shared" si="46"/>
        <v/>
      </c>
      <c r="AT91" s="130" t="str">
        <f>"Ⓛ "&amp;AE91</f>
        <v>Ⓛ Panama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6</v>
      </c>
      <c r="AL92" s="123">
        <f>MIN(AL80:AL91)</f>
        <v>-3</v>
      </c>
      <c r="AM92" s="123">
        <f>MAX(AM80:AM91)+1</f>
        <v>4</v>
      </c>
      <c r="AN92" s="123">
        <f>MAX(AN80:AN91)+1</f>
        <v>2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423</v>
      </c>
      <c r="C3" s="121" t="str">
        <f>'2026 World Cup'!AR91</f>
        <v>ABCEFGHK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3E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2026-06-19T05:31:36Z</dcterms:modified>
  <cp:category>Sports</cp:category>
  <cp:contentStatus/>
</cp:coreProperties>
</file>