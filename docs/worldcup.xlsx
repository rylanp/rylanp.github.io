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01B6D0D5-8BEF-0744-A445-2947AF29247D}" xr6:coauthVersionLast="47" xr6:coauthVersionMax="47" xr10:uidLastSave="{00000000-0000-0000-0000-000000000000}"/>
  <bookViews>
    <workbookView xWindow="0" yWindow="660" windowWidth="34560" windowHeight="21680" activeTab="6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7" i="5" l="1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S19" i="3"/>
  <c r="T19" i="3" s="1"/>
  <c r="S20" i="3"/>
  <c r="S44" i="3"/>
  <c r="T44" i="3" s="1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S39" i="3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28" i="3"/>
  <c r="T51" i="3"/>
  <c r="S54" i="3"/>
  <c r="S77" i="3"/>
  <c r="S50" i="3"/>
  <c r="S76" i="3"/>
  <c r="S47" i="3"/>
  <c r="S67" i="3"/>
  <c r="T43" i="3"/>
  <c r="S72" i="3"/>
  <c r="T20" i="3"/>
  <c r="S70" i="3"/>
  <c r="T45" i="3"/>
  <c r="S42" i="3"/>
  <c r="S64" i="3"/>
  <c r="S40" i="3"/>
  <c r="S62" i="3"/>
  <c r="T61" i="3"/>
  <c r="T16" i="3"/>
  <c r="T39" i="3"/>
  <c r="S38" i="3"/>
  <c r="S65" i="3"/>
  <c r="T66" i="3"/>
  <c r="S55" i="3"/>
  <c r="T56" i="3"/>
  <c r="S57" i="3"/>
  <c r="T9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35" i="3"/>
  <c r="AR34" i="3"/>
  <c r="AR33" i="3"/>
  <c r="AR71" i="3"/>
  <c r="AR29" i="3" l="1"/>
  <c r="AR27" i="3"/>
  <c r="AR28" i="3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L58" i="3" s="1"/>
  <c r="AR16" i="3"/>
  <c r="AR17" i="3"/>
  <c r="AD59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AD22" i="3" l="1"/>
  <c r="AD41" i="3"/>
  <c r="AD69" i="3"/>
  <c r="AD71" i="3"/>
  <c r="L59" i="3"/>
  <c r="O60" i="3"/>
  <c r="N58" i="3"/>
  <c r="AD70" i="3"/>
  <c r="AD68" i="3"/>
  <c r="N69" i="3" s="1"/>
  <c r="AD77" i="3"/>
  <c r="AD15" i="3"/>
  <c r="AD76" i="3"/>
  <c r="AD74" i="3"/>
  <c r="M58" i="3"/>
  <c r="AD53" i="3"/>
  <c r="AD21" i="3"/>
  <c r="AD20" i="3"/>
  <c r="AD44" i="3"/>
  <c r="AD39" i="3"/>
  <c r="M59" i="3"/>
  <c r="P59" i="3" s="1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M4" i="6" l="1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D84" i="3" s="1"/>
  <c r="AS84" i="3" s="1"/>
  <c r="AP85" i="3"/>
  <c r="AD88" i="3" s="1"/>
  <c r="AS88" i="3" s="1"/>
  <c r="AD89" i="3"/>
  <c r="AS89" i="3" s="1"/>
  <c r="AD86" i="3" l="1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L88" i="3" s="1"/>
  <c r="AD87" i="3"/>
  <c r="AS87" i="3" s="1"/>
  <c r="M86" i="3" l="1"/>
  <c r="J88" i="3"/>
  <c r="N84" i="3"/>
  <c r="L83" i="3"/>
  <c r="L92" i="3"/>
  <c r="P92" i="3" s="1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K83" i="3" s="1"/>
  <c r="J83" i="3"/>
  <c r="O92" i="3"/>
  <c r="M85" i="3"/>
  <c r="L85" i="3"/>
  <c r="P85" i="3" s="1"/>
  <c r="M81" i="3"/>
  <c r="J91" i="3"/>
  <c r="N86" i="3"/>
  <c r="L81" i="3"/>
  <c r="M84" i="3"/>
  <c r="L90" i="3"/>
  <c r="P90" i="3" s="1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K90" i="3" s="1"/>
  <c r="N81" i="3"/>
  <c r="J92" i="3"/>
  <c r="N82" i="3"/>
  <c r="K82" i="3" s="1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P84" i="3" s="1"/>
  <c r="L87" i="3"/>
  <c r="J89" i="3"/>
  <c r="O86" i="3"/>
  <c r="N85" i="3"/>
  <c r="J87" i="3"/>
  <c r="L89" i="3"/>
  <c r="P89" i="3" s="1"/>
  <c r="J82" i="3"/>
  <c r="O89" i="3"/>
  <c r="O91" i="3"/>
  <c r="P81" i="3" l="1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<sst xmlns="http://schemas.openxmlformats.org/spreadsheetml/2006/main" count="9879" uniqueCount="3715">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</sst>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workbookViewId="0">
      <selection activeCell="F4" sqref="F4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 t="e">
        <f>IFERROR(_xlfn.XLOOKUP(B3,Rounds!A$2:A$25,Rounds!B$2:B$25), _xlfn.XLOOKUP(B3,Rounds!D$2:D$25,Rounds!C$2:C$25))</f>
        <v>#N/A</v>
      </c>
      <c r="D3" s="142" t="e">
        <f>IFERROR(_xlfn.XLOOKUP(B3,Rounds!A$2:A$25,Rounds!C$2:C$25), _xlfn.XLOOKUP(B3,Rounds!D$2:D$25,Rounds!B$2:B$25))</f>
        <v>#N/A</v>
      </c>
      <c r="E3" s="140" t="str">
        <f>IFERROR(_xlfn.XLOOKUP(B3,Rounds!A$2:A$25,Rounds!D$2:D$25), _xlfn.XLOOKUP(B3,Rounds!D$2:D$25,Rounds!A$2:A$25))</f>
        <v>Tunisia</v>
      </c>
      <c r="F3" s="154"/>
      <c r="G3" s="142" t="e">
        <f>IFERROR(_xlfn.XLOOKUP(F3,Rounds!E$2:E$25,Rounds!F$2:F$25), _xlfn.XLOOKUP(F3,Rounds!H$2:H$25,Rounds!G$2:G$25))</f>
        <v>#N/A</v>
      </c>
      <c r="H3" s="142" t="e">
        <f>IFERROR(_xlfn.XLOOKUP(F3,Rounds!E$2:E$25,Rounds!G$2:G$25), _xlfn.XLOOKUP(F3,Rounds!H$2:H$25,Rounds!F$2:F$25))</f>
        <v>#N/A</v>
      </c>
      <c r="I3" s="140" t="e">
        <f>IFERROR(_xlfn.XLOOKUP(F3,Rounds!E$2:E$25,Rounds!H$2:H$25), _xlfn.XLOOKUP(F3,Rounds!H$2:H$25,Rounds!E$2:E$25))</f>
        <v>#N/A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 t="e">
        <f>IFERROR(_xlfn.XLOOKUP(B4,Rounds!A$2:A$25,Rounds!B$2:B$25), _xlfn.XLOOKUP(B4,Rounds!D$2:D$25,Rounds!C$2:C$25))</f>
        <v>#N/A</v>
      </c>
      <c r="D4" s="146" t="e">
        <f>IFERROR(_xlfn.XLOOKUP(B4,Rounds!A$2:A$25,Rounds!C$2:C$25), _xlfn.XLOOKUP(B4,Rounds!D$2:D$25,Rounds!B$2:B$25))</f>
        <v>#N/A</v>
      </c>
      <c r="E4" s="147" t="str">
        <f>IFERROR(_xlfn.XLOOKUP(B4,Rounds!A$2:A$25,Rounds!D$2:D$25), _xlfn.XLOOKUP(B4,Rounds!D$2:D$25,Rounds!A$2:A$25))</f>
        <v>Qatar</v>
      </c>
      <c r="G4" s="146" t="e">
        <f>IFERROR(_xlfn.XLOOKUP(F4,Rounds!E$2:E$25,Rounds!F$2:F$25), _xlfn.XLOOKUP(F4,Rounds!H$2:H$25,Rounds!G$2:G$25))</f>
        <v>#N/A</v>
      </c>
      <c r="H4" s="146" t="e">
        <f>IFERROR(_xlfn.XLOOKUP(F4,Rounds!E$2:E$25,Rounds!G$2:G$25), _xlfn.XLOOKUP(F4,Rounds!H$2:H$25,Rounds!F$2:F$25))</f>
        <v>#N/A</v>
      </c>
      <c r="I4" s="147" t="e">
        <f>IFERROR(_xlfn.XLOOKUP(F4,Rounds!E$2:E$25,Rounds!H$2:H$25), _xlfn.XLOOKUP(F4,Rounds!H$2:H$25,Rounds!E$2:E$25))</f>
        <v>#N/A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 t="e">
        <f>IFERROR(_xlfn.XLOOKUP(B5,Rounds!A$2:A$25,Rounds!B$2:B$25), _xlfn.XLOOKUP(B5,Rounds!D$2:D$25,Rounds!C$2:C$25))</f>
        <v>#N/A</v>
      </c>
      <c r="D5" s="82" t="e">
        <f>IFERROR(_xlfn.XLOOKUP(B5,Rounds!A$2:A$25,Rounds!C$2:C$25), _xlfn.XLOOKUP(B5,Rounds!D$2:D$25,Rounds!B$2:B$25))</f>
        <v>#N/A</v>
      </c>
      <c r="E5" s="134" t="str">
        <f>IFERROR(_xlfn.XLOOKUP(B5,Rounds!A$2:A$25,Rounds!D$2:D$25), _xlfn.XLOOKUP(B5,Rounds!D$2:D$25,Rounds!A$2:A$25))</f>
        <v>Uzbekistan</v>
      </c>
      <c r="G5" s="82" t="e">
        <f>IFERROR(_xlfn.XLOOKUP(F5,Rounds!E$2:E$25,Rounds!F$2:F$25), _xlfn.XLOOKUP(F5,Rounds!H$2:H$25,Rounds!G$2:G$25))</f>
        <v>#N/A</v>
      </c>
      <c r="H5" s="82" t="e">
        <f>IFERROR(_xlfn.XLOOKUP(F5,Rounds!E$2:E$25,Rounds!G$2:G$25), _xlfn.XLOOKUP(F5,Rounds!H$2:H$25,Rounds!F$2:F$25))</f>
        <v>#N/A</v>
      </c>
      <c r="I5" s="134" t="e">
        <f>IFERROR(_xlfn.XLOOKUP(F5,Rounds!E$2:E$25,Rounds!H$2:H$25), _xlfn.XLOOKUP(F5,Rounds!H$2:H$25,Rounds!E$2:E$25))</f>
        <v>#N/A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 t="e">
        <f>IFERROR(_xlfn.XLOOKUP(B6,Rounds!A$2:A$25,Rounds!B$2:B$25), _xlfn.XLOOKUP(B6,Rounds!D$2:D$25,Rounds!C$2:C$25))</f>
        <v>#N/A</v>
      </c>
      <c r="D6" s="146" t="e">
        <f>IFERROR(_xlfn.XLOOKUP(B6,Rounds!A$2:A$25,Rounds!C$2:C$25), _xlfn.XLOOKUP(B6,Rounds!D$2:D$25,Rounds!B$2:B$25))</f>
        <v>#N/A</v>
      </c>
      <c r="E6" s="147" t="str">
        <f>IFERROR(_xlfn.XLOOKUP(B6,Rounds!A$2:A$25,Rounds!D$2:D$25), _xlfn.XLOOKUP(B6,Rounds!D$2:D$25,Rounds!A$2:A$25))</f>
        <v>Iraq</v>
      </c>
      <c r="G6" s="146" t="e">
        <f>IFERROR(_xlfn.XLOOKUP(F6,Rounds!E$2:E$25,Rounds!F$2:F$25), _xlfn.XLOOKUP(F6,Rounds!H$2:H$25,Rounds!G$2:G$25))</f>
        <v>#N/A</v>
      </c>
      <c r="H6" s="146" t="e">
        <f>IFERROR(_xlfn.XLOOKUP(F6,Rounds!E$2:E$25,Rounds!G$2:G$25), _xlfn.XLOOKUP(F6,Rounds!H$2:H$25,Rounds!F$2:F$25))</f>
        <v>#N/A</v>
      </c>
      <c r="I6" s="147" t="e">
        <f>IFERROR(_xlfn.XLOOKUP(F6,Rounds!E$2:E$25,Rounds!H$2:H$25), _xlfn.XLOOKUP(F6,Rounds!H$2:H$25,Rounds!E$2:E$25))</f>
        <v>#N/A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 t="e">
        <f>IFERROR(_xlfn.XLOOKUP(B7,Rounds!A$2:A$25,Rounds!B$2:B$25), _xlfn.XLOOKUP(B7,Rounds!D$2:D$25,Rounds!C$2:C$25))</f>
        <v>#N/A</v>
      </c>
      <c r="D7" s="82" t="e">
        <f>IFERROR(_xlfn.XLOOKUP(B7,Rounds!A$2:A$25,Rounds!C$2:C$25), _xlfn.XLOOKUP(B7,Rounds!D$2:D$25,Rounds!B$2:B$25))</f>
        <v>#N/A</v>
      </c>
      <c r="E7" s="134" t="str">
        <f>IFERROR(_xlfn.XLOOKUP(B7,Rounds!A$2:A$25,Rounds!D$2:D$25), _xlfn.XLOOKUP(B7,Rounds!D$2:D$25,Rounds!A$2:A$25))</f>
        <v>Qatar</v>
      </c>
      <c r="G7" s="82" t="e">
        <f>IFERROR(_xlfn.XLOOKUP(F7,Rounds!E$2:E$25,Rounds!F$2:F$25), _xlfn.XLOOKUP(F7,Rounds!H$2:H$25,Rounds!G$2:G$25))</f>
        <v>#N/A</v>
      </c>
      <c r="H7" s="82" t="e">
        <f>IFERROR(_xlfn.XLOOKUP(F7,Rounds!E$2:E$25,Rounds!G$2:G$25), _xlfn.XLOOKUP(F7,Rounds!H$2:H$25,Rounds!F$2:F$25))</f>
        <v>#N/A</v>
      </c>
      <c r="I7" s="134" t="e">
        <f>IFERROR(_xlfn.XLOOKUP(F7,Rounds!E$2:E$25,Rounds!H$2:H$25), _xlfn.XLOOKUP(F7,Rounds!H$2:H$25,Rounds!E$2:E$25))</f>
        <v>#N/A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 t="e">
        <f>IFERROR(_xlfn.XLOOKUP(B8,Rounds!A$2:A$25,Rounds!B$2:B$25), _xlfn.XLOOKUP(B8,Rounds!D$2:D$25,Rounds!C$2:C$25))</f>
        <v>#N/A</v>
      </c>
      <c r="D8" s="150" t="e">
        <f>IFERROR(_xlfn.XLOOKUP(B8,Rounds!A$2:A$25,Rounds!C$2:C$25), _xlfn.XLOOKUP(B8,Rounds!D$2:D$25,Rounds!B$2:B$25))</f>
        <v>#N/A</v>
      </c>
      <c r="E8" s="151" t="str">
        <f>IFERROR(_xlfn.XLOOKUP(B8,Rounds!A$2:A$25,Rounds!D$2:D$25), _xlfn.XLOOKUP(B8,Rounds!D$2:D$25,Rounds!A$2:A$25))</f>
        <v>Qatar</v>
      </c>
      <c r="F8" s="152"/>
      <c r="G8" s="150" t="e">
        <f>IFERROR(_xlfn.XLOOKUP(F8,Rounds!E$2:E$25,Rounds!F$2:F$25), _xlfn.XLOOKUP(F8,Rounds!H$2:H$25,Rounds!G$2:G$25))</f>
        <v>#N/A</v>
      </c>
      <c r="H8" s="150" t="e">
        <f>IFERROR(_xlfn.XLOOKUP(F8,Rounds!E$2:E$25,Rounds!G$2:G$25), _xlfn.XLOOKUP(F8,Rounds!H$2:H$25,Rounds!F$2:F$25))</f>
        <v>#N/A</v>
      </c>
      <c r="I8" s="151" t="e">
        <f>IFERROR(_xlfn.XLOOKUP(F8,Rounds!E$2:E$25,Rounds!H$2:H$25), _xlfn.XLOOKUP(F8,Rounds!H$2:H$25,Rounds!E$2:E$25))</f>
        <v>#N/A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 t="e">
        <v>#N/A</v>
      </c>
      <c r="G2" s="81" t="e">
        <v>#N/A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 t="e">
        <v>#N/A</v>
      </c>
      <c r="G3" s="81" t="e">
        <v>#N/A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 t="e">
        <v>#N/A</v>
      </c>
      <c r="C4" s="81" t="e">
        <v>#N/A</v>
      </c>
      <c r="D4" s="134" t="str">
        <v>Bosnia and Herzegovina</v>
      </c>
      <c r="E4" s="132" t="str">
        <v>Canada</v>
      </c>
      <c r="F4" s="81" t="e">
        <v>#N/A</v>
      </c>
      <c r="G4" s="81" t="e">
        <v>#N/A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 t="e">
        <v>#N/A</v>
      </c>
      <c r="C5" s="81" t="e">
        <v>#N/A</v>
      </c>
      <c r="D5" s="134" t="str">
        <v>Paraguay</v>
      </c>
      <c r="E5" s="132" t="str">
        <v>Mexico</v>
      </c>
      <c r="F5" s="81" t="e">
        <v>#N/A</v>
      </c>
      <c r="G5" s="81" t="e">
        <v>#N/A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 t="e">
        <v>#N/A</v>
      </c>
      <c r="C6" s="81" t="e">
        <v>#N/A</v>
      </c>
      <c r="D6" s="134" t="str">
        <v>Scotland</v>
      </c>
      <c r="E6" s="132" t="str">
        <v>Brazil</v>
      </c>
      <c r="F6" s="81" t="e">
        <v>#N/A</v>
      </c>
      <c r="G6" s="81" t="e">
        <v>#N/A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 t="e">
        <v>#N/A</v>
      </c>
      <c r="C7" s="81" t="e">
        <v>#N/A</v>
      </c>
      <c r="D7" s="134" t="str">
        <v>Turkey</v>
      </c>
      <c r="E7" s="132" t="str">
        <v>Scotland</v>
      </c>
      <c r="F7" s="81" t="e">
        <v>#N/A</v>
      </c>
      <c r="G7" s="81" t="e">
        <v>#N/A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 t="e">
        <v>#N/A</v>
      </c>
      <c r="C8" s="81" t="e">
        <v>#N/A</v>
      </c>
      <c r="D8" s="134" t="str">
        <v>Morocco</v>
      </c>
      <c r="E8" s="132" t="str">
        <v>United States</v>
      </c>
      <c r="F8" s="81" t="e">
        <v>#N/A</v>
      </c>
      <c r="G8" s="81" t="e">
        <v>#N/A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 t="e">
        <v>#N/A</v>
      </c>
      <c r="C9" s="81" t="e">
        <v>#N/A</v>
      </c>
      <c r="D9" s="134" t="str">
        <v>Switzerland</v>
      </c>
      <c r="E9" s="132" t="str">
        <v>Turkey</v>
      </c>
      <c r="F9" s="81" t="e">
        <v>#N/A</v>
      </c>
      <c r="G9" s="81" t="e">
        <v>#N/A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 t="e">
        <v>#N/A</v>
      </c>
      <c r="C10" s="81" t="e">
        <v>#N/A</v>
      </c>
      <c r="D10" s="134" t="str">
        <v>Ecuador</v>
      </c>
      <c r="E10" s="132" t="str">
        <v>Germany</v>
      </c>
      <c r="F10" s="81" t="e">
        <v>#N/A</v>
      </c>
      <c r="G10" s="81" t="e">
        <v>#N/A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 t="e">
        <v>#N/A</v>
      </c>
      <c r="C11" s="81" t="e">
        <v>#N/A</v>
      </c>
      <c r="D11" s="134" t="str">
        <v>Curaçao</v>
      </c>
      <c r="E11" s="132" t="str">
        <v>Ecuador</v>
      </c>
      <c r="F11" s="81" t="e">
        <v>#N/A</v>
      </c>
      <c r="G11" s="81" t="e">
        <v>#N/A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 t="e">
        <v>#N/A</v>
      </c>
      <c r="C12" s="81" t="e">
        <v>#N/A</v>
      </c>
      <c r="D12" s="134" t="str">
        <v>Japan</v>
      </c>
      <c r="E12" s="132" t="str">
        <v>Netherlands</v>
      </c>
      <c r="F12" s="81" t="e">
        <v>#N/A</v>
      </c>
      <c r="G12" s="81" t="e">
        <v>#N/A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 t="e">
        <v>#N/A</v>
      </c>
      <c r="C13" s="81" t="e">
        <v>#N/A</v>
      </c>
      <c r="D13" s="134" t="str">
        <v>Tunisia</v>
      </c>
      <c r="E13" s="132" t="str">
        <v>Tunisia</v>
      </c>
      <c r="F13" s="81" t="e">
        <v>#N/A</v>
      </c>
      <c r="G13" s="81" t="e">
        <v>#N/A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 t="e">
        <v>#N/A</v>
      </c>
      <c r="C14" s="81" t="e">
        <v>#N/A</v>
      </c>
      <c r="D14" s="134" t="str">
        <v>Uruguay</v>
      </c>
      <c r="E14" s="132" t="str">
        <v>Uruguay</v>
      </c>
      <c r="F14" s="81" t="e">
        <v>#N/A</v>
      </c>
      <c r="G14" s="81" t="e">
        <v>#N/A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 t="e">
        <v>#N/A</v>
      </c>
      <c r="C15" s="81" t="e">
        <v>#N/A</v>
      </c>
      <c r="D15" s="134" t="str">
        <v>Cape Verde</v>
      </c>
      <c r="E15" s="132" t="str">
        <v>Spain</v>
      </c>
      <c r="F15" s="81" t="e">
        <v>#N/A</v>
      </c>
      <c r="G15" s="81" t="e">
        <v>#N/A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 t="e">
        <v>#N/A</v>
      </c>
      <c r="C16" s="81" t="e">
        <v>#N/A</v>
      </c>
      <c r="D16" s="134" t="str">
        <v>New Zealand</v>
      </c>
      <c r="E16" s="132" t="str">
        <v>Belgium</v>
      </c>
      <c r="F16" s="81" t="e">
        <v>#N/A</v>
      </c>
      <c r="G16" s="81" t="e">
        <v>#N/A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 t="e">
        <v>#N/A</v>
      </c>
      <c r="C17" s="81" t="e">
        <v>#N/A</v>
      </c>
      <c r="D17" s="134" t="str">
        <v>Egypt</v>
      </c>
      <c r="E17" s="132" t="str">
        <v>New Zealand</v>
      </c>
      <c r="F17" s="81" t="e">
        <v>#N/A</v>
      </c>
      <c r="G17" s="81" t="e">
        <v>#N/A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 t="e">
        <v>#N/A</v>
      </c>
      <c r="C18" s="81" t="e">
        <v>#N/A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 t="e">
        <v>#N/A</v>
      </c>
      <c r="C19" s="81" t="e">
        <v>#N/A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 t="e">
        <v>#N/A</v>
      </c>
      <c r="C20" s="81" t="e">
        <v>#N/A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 t="e">
        <v>#N/A</v>
      </c>
      <c r="C21" s="81" t="e">
        <v>#N/A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 t="e">
        <v>#N/A</v>
      </c>
      <c r="C22" s="81" t="e">
        <v>#N/A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 t="e">
        <v>#N/A</v>
      </c>
      <c r="C23" s="81" t="e">
        <v>#N/A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 t="e">
        <v>#N/A</v>
      </c>
      <c r="C24" s="81" t="e">
        <v>#N/A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 t="e">
        <v>#N/A</v>
      </c>
      <c r="C25" s="153" t="e">
        <v>#N/A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zoomScale="112" zoomScaleNormal="100" workbookViewId="0">
      <selection activeCell="G9" sqref="G9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1" t="str" cm="1">
        <f t="array" ref="A1">INDEX(T,2,lang)</f>
        <v>2026 World Cup Final Tournament Schedule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2" t="str">
        <f>"Language: " &amp; Settings!C4</f>
        <v>Language: English</v>
      </c>
      <c r="P3" s="172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73" t="str" cm="1">
        <f t="array" ref="A5">INDEX(T,3,lang)</f>
        <v>Group Stage</v>
      </c>
      <c r="B5" s="174"/>
      <c r="C5" s="174"/>
      <c r="D5" s="174"/>
      <c r="E5" s="174"/>
      <c r="F5" s="174"/>
      <c r="G5" s="174"/>
      <c r="H5" s="175"/>
      <c r="J5" s="179" t="s">
        <v>3166</v>
      </c>
      <c r="K5" s="180"/>
      <c r="L5" s="180"/>
      <c r="M5" s="180"/>
      <c r="N5" s="180"/>
      <c r="O5" s="180"/>
      <c r="P5" s="181"/>
    </row>
    <row r="6" spans="1:95" ht="15" customHeight="1" x14ac:dyDescent="0.2">
      <c r="A6" s="176"/>
      <c r="B6" s="177"/>
      <c r="C6" s="177"/>
      <c r="D6" s="177"/>
      <c r="E6" s="177"/>
      <c r="F6" s="177"/>
      <c r="G6" s="177"/>
      <c r="H6" s="178"/>
      <c r="J6" s="182"/>
      <c r="K6" s="183"/>
      <c r="L6" s="183"/>
      <c r="M6" s="183"/>
      <c r="N6" s="183"/>
      <c r="O6" s="183"/>
      <c r="P6" s="184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65" t="s">
        <v>3179</v>
      </c>
      <c r="BL6" s="166"/>
      <c r="BM6" s="166"/>
      <c r="BN6" s="166"/>
      <c r="BO6" s="167"/>
      <c r="BR6" s="165" t="str" cm="1">
        <f t="array" ref="BR6">INDEX(T,4,lang)</f>
        <v>Round of 16</v>
      </c>
      <c r="BS6" s="166"/>
      <c r="BT6" s="166"/>
      <c r="BU6" s="166"/>
      <c r="BV6" s="167"/>
      <c r="BY6" s="165" t="str" cm="1">
        <f t="array" ref="BY6">INDEX(T,5,lang)</f>
        <v>Quarterfinals</v>
      </c>
      <c r="BZ6" s="166"/>
      <c r="CA6" s="166"/>
      <c r="CB6" s="166"/>
      <c r="CC6" s="167"/>
      <c r="CF6" s="165" t="str" cm="1">
        <f t="array" ref="CF6">INDEX(T,6,lang)</f>
        <v>Semi-Finals</v>
      </c>
      <c r="CG6" s="166"/>
      <c r="CH6" s="166"/>
      <c r="CI6" s="166"/>
      <c r="CJ6" s="167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68"/>
      <c r="BL7" s="169"/>
      <c r="BM7" s="169"/>
      <c r="BN7" s="169"/>
      <c r="BO7" s="170"/>
      <c r="BR7" s="168"/>
      <c r="BS7" s="169"/>
      <c r="BT7" s="169"/>
      <c r="BU7" s="169"/>
      <c r="BV7" s="170"/>
      <c r="BY7" s="168"/>
      <c r="BZ7" s="169"/>
      <c r="CA7" s="169"/>
      <c r="CB7" s="169"/>
      <c r="CC7" s="170"/>
      <c r="CF7" s="168"/>
      <c r="CG7" s="169"/>
      <c r="CH7" s="169"/>
      <c r="CI7" s="169"/>
      <c r="CJ7" s="170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/>
      <c r="G9" s="20"/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/>
      </c>
      <c r="T9" s="127" t="str">
        <f t="shared" si="2"/>
        <v/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 t="str">
        <f t="shared" si="6"/>
        <v/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/>
      <c r="G10" s="20"/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/>
      </c>
      <c r="T10" s="127" t="str">
        <f t="shared" si="2"/>
        <v/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 t="str">
        <f t="shared" si="6"/>
        <v/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/>
      <c r="G11" s="20"/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/>
      </c>
      <c r="T11" s="127" t="str">
        <f t="shared" si="2"/>
        <v/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 t="str">
        <f t="shared" si="6"/>
        <v/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6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/>
      <c r="G12" s="20"/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/>
      </c>
      <c r="T12" s="127" t="str">
        <f t="shared" si="2"/>
        <v/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 t="str">
        <f t="shared" si="6"/>
        <v/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6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/>
      <c r="G13" s="20"/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/>
      </c>
      <c r="T13" s="127" t="str">
        <f t="shared" si="2"/>
        <v/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 t="str">
        <f t="shared" si="6"/>
        <v/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6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/>
      <c r="G14" s="20"/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/>
      </c>
      <c r="T14" s="127" t="str">
        <f t="shared" si="2"/>
        <v/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 t="str">
        <f t="shared" si="6"/>
        <v/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0</v>
      </c>
      <c r="AH14" s="123">
        <f>COUNTIF($S$7:$T$78,"=" &amp; AE14 &amp; "_lose")</f>
        <v>0</v>
      </c>
      <c r="AI14" s="123">
        <f>SUMIF($E$7:$E$78,$AE14,$F$7:$F$78) + SUMIF($H$7:$H$78,$AE14,$G$7:$G$78)</f>
        <v>0</v>
      </c>
      <c r="AJ14" s="123">
        <f>SUMIF($E$7:$E$78,$AE14,$G$7:$G$78) + SUMIF($H$7:$H$78,$AE14,$F$7:$F$78)</f>
        <v>0</v>
      </c>
      <c r="AL14" s="123">
        <f>AI14-AJ14</f>
        <v>0</v>
      </c>
      <c r="AM14" s="123">
        <f>AL14-AL18</f>
        <v>0</v>
      </c>
      <c r="AN14" s="123">
        <f>AF14*3+AG14</f>
        <v>0</v>
      </c>
      <c r="AO14" s="123">
        <f>AN14/AN18*10+BA14</f>
        <v>0</v>
      </c>
      <c r="AP14" s="123">
        <f>AO14*10000000+BI14*100+AM14/AM18*10+AI14/AI18*1++IF(AQ14=0,ROW(),AQ14)/2000000</f>
        <v>7.7824000000000003E-4</v>
      </c>
      <c r="AQ14" s="126">
        <f>VLOOKUP(AE14,db_fifarank,2,FALSE)</f>
        <v>1556.48</v>
      </c>
      <c r="AR14" s="125">
        <f>AP14/AP18</f>
        <v>7.7759871434028365E-4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6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0</v>
      </c>
      <c r="L15" s="31">
        <f>VLOOKUP(1,AD14:AN17,3,FALSE)</f>
        <v>0</v>
      </c>
      <c r="M15" s="31">
        <f>VLOOKUP(1,AD14:AN17,4,FALSE)</f>
        <v>0</v>
      </c>
      <c r="N15" s="31">
        <f>VLOOKUP(1,AD14:AN17,5,FALSE)</f>
        <v>0</v>
      </c>
      <c r="O15" s="31" t="str">
        <f>VLOOKUP(1,AD14:AN17,6,FALSE) &amp; " - " &amp; VLOOKUP(1,AD14:AN17,7,FALSE)</f>
        <v>0 - 0</v>
      </c>
      <c r="P15" s="32">
        <f>L15*3+M15</f>
        <v>0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0</v>
      </c>
      <c r="AH15" s="123">
        <f>COUNTIF($S$7:$T$78,"=" &amp; AE15 &amp; "_lose")</f>
        <v>0</v>
      </c>
      <c r="AI15" s="123">
        <f>SUMIF($E$7:$E$78,$AE15,$F$7:$F$78) + SUMIF($H$7:$H$78,$AE15,$G$7:$G$78)</f>
        <v>0</v>
      </c>
      <c r="AJ15" s="123">
        <f>SUMIF($E$7:$E$78,$AE15,$G$7:$G$78) + SUMIF($H$7:$H$78,$AE15,$F$7:$F$78)</f>
        <v>0</v>
      </c>
      <c r="AL15" s="123">
        <f>AI15-AJ15</f>
        <v>0</v>
      </c>
      <c r="AM15" s="123">
        <f>AL15-AL18</f>
        <v>0</v>
      </c>
      <c r="AN15" s="123">
        <f>AF15*3+AG15</f>
        <v>0</v>
      </c>
      <c r="AO15" s="123">
        <f>AN15/AN18*10+BA15</f>
        <v>0</v>
      </c>
      <c r="AP15" s="123">
        <f>AO15*10000000+BI15*100+AM15/AM18*10+AI15/AI18*1++IF(AQ15=0,ROW(),AQ15)/2000000</f>
        <v>6.9291999999999997E-4</v>
      </c>
      <c r="AQ15" s="126">
        <f>VLOOKUP(AE15,db_fifarank,2,FALSE)</f>
        <v>1385.84</v>
      </c>
      <c r="AR15" s="125">
        <f>AP15/AP18</f>
        <v>6.9234901976340118E-4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6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Canada</v>
      </c>
      <c r="K16" s="23">
        <f>L16+M16+N16</f>
        <v>0</v>
      </c>
      <c r="L16" s="23">
        <f>VLOOKUP(2,AD14:AN17,3,FALSE)</f>
        <v>0</v>
      </c>
      <c r="M16" s="23">
        <f>VLOOKUP(2,AD14:AN17,4,FALSE)</f>
        <v>0</v>
      </c>
      <c r="N16" s="23">
        <f>VLOOKUP(2,AD14:AN17,5,FALSE)</f>
        <v>0</v>
      </c>
      <c r="O16" s="23" t="str">
        <f>VLOOKUP(2,AD14:AN17,6,FALSE) &amp; " - " &amp; VLOOKUP(2,AD14:AN17,7,FALSE)</f>
        <v>0 - 0</v>
      </c>
      <c r="P16" s="34">
        <f>L16*3+M16</f>
        <v>0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0</v>
      </c>
      <c r="AH16" s="123">
        <f>COUNTIF($S$7:$T$78,"=" &amp; AE16 &amp; "_lose")</f>
        <v>0</v>
      </c>
      <c r="AI16" s="123">
        <f>SUMIF($E$7:$E$78,$AE16,$F$7:$F$78) + SUMIF($H$7:$H$78,$AE16,$G$7:$G$78)</f>
        <v>0</v>
      </c>
      <c r="AJ16" s="123">
        <f>SUMIF($E$7:$E$78,$AE16,$G$7:$G$78) + SUMIF($H$7:$H$78,$AE16,$F$7:$F$78)</f>
        <v>0</v>
      </c>
      <c r="AL16" s="123">
        <f>AI16-AJ16</f>
        <v>0</v>
      </c>
      <c r="AM16" s="123">
        <f>AL16-AL18</f>
        <v>0</v>
      </c>
      <c r="AN16" s="123">
        <f>AF16*3+AG16</f>
        <v>0</v>
      </c>
      <c r="AO16" s="123">
        <f>AN16/AN18*10+BA16</f>
        <v>0</v>
      </c>
      <c r="AP16" s="123">
        <f>AO16*10000000+BI16*100+AM16/AM18*10+AI16/AI18*1++IF(AQ16=0,ROW(),AQ16)/2000000</f>
        <v>7.2747999999999997E-4</v>
      </c>
      <c r="AQ16" s="126">
        <f>VLOOKUP(AE16,db_fifarank,2,FALSE)</f>
        <v>1454.96</v>
      </c>
      <c r="AR16" s="125">
        <f>AP16/AP18</f>
        <v>7.268805416173282E-4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Qatar</v>
      </c>
      <c r="K17" s="23">
        <f>L17+M17+N17</f>
        <v>0</v>
      </c>
      <c r="L17" s="23">
        <f>VLOOKUP(3,AD14:AN17,3,FALSE)</f>
        <v>0</v>
      </c>
      <c r="M17" s="23">
        <f>VLOOKUP(3,AD14:AN17,4,FALSE)</f>
        <v>0</v>
      </c>
      <c r="N17" s="23">
        <f>VLOOKUP(3,AD14:AN17,5,FALSE)</f>
        <v>0</v>
      </c>
      <c r="O17" s="23" t="str">
        <f>VLOOKUP(3,AD14:AN17,6,FALSE) &amp; " - " &amp; VLOOKUP(3,AD14:AN17,7,FALSE)</f>
        <v>0 - 0</v>
      </c>
      <c r="P17" s="34">
        <f>L17*3+M17</f>
        <v>0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0</v>
      </c>
      <c r="AH17" s="123">
        <f>COUNTIF($S$7:$T$78,"=" &amp; AE17 &amp; "_lose")</f>
        <v>0</v>
      </c>
      <c r="AI17" s="123">
        <f>SUMIF($E$7:$E$78,$AE17,$F$7:$F$78) + SUMIF($H$7:$H$78,$AE17,$G$7:$G$78)</f>
        <v>0</v>
      </c>
      <c r="AJ17" s="123">
        <f>SUMIF($E$7:$E$78,$AE17,$G$7:$G$78) + SUMIF($H$7:$H$78,$AE17,$F$7:$F$78)</f>
        <v>0</v>
      </c>
      <c r="AL17" s="123">
        <f>AI17-AJ17</f>
        <v>0</v>
      </c>
      <c r="AM17" s="123">
        <f>AL17-AL18</f>
        <v>0</v>
      </c>
      <c r="AN17" s="123">
        <f>AF17*3+AG17</f>
        <v>0</v>
      </c>
      <c r="AO17" s="123">
        <f>AN17/AN18*10+BA17</f>
        <v>0</v>
      </c>
      <c r="AP17" s="123">
        <f>AO17*10000000+BI17*100+AM17/AM18*10+AI17/AI18*1++IF(AQ17=0,ROW(),AQ17)/2000000</f>
        <v>8.2470000000000004E-4</v>
      </c>
      <c r="AQ17" s="126">
        <f>VLOOKUP(AE17,db_fifarank,2,FALSE)</f>
        <v>1649.4</v>
      </c>
      <c r="AR17" s="125">
        <f>AP17/AP18</f>
        <v>8.2402043035108958E-4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6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0</v>
      </c>
      <c r="L18" s="36">
        <f>VLOOKUP(4,AD14:AN17,3,FALSE)</f>
        <v>0</v>
      </c>
      <c r="M18" s="36">
        <f>VLOOKUP(4,AD14:AN17,4,FALSE)</f>
        <v>0</v>
      </c>
      <c r="N18" s="36">
        <f>VLOOKUP(4,AD14:AN17,5,FALSE)</f>
        <v>0</v>
      </c>
      <c r="O18" s="36" t="str">
        <f>VLOOKUP(4,AD14:AN17,6,FALSE) &amp; " - " &amp; VLOOKUP(4,AD14:AN17,7,FALSE)</f>
        <v>0 - 0</v>
      </c>
      <c r="P18" s="37">
        <f>L18*3+M18</f>
        <v>0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1</v>
      </c>
      <c r="AL18" s="123">
        <f>MIN(AL14:AL17)</f>
        <v>0</v>
      </c>
      <c r="AM18" s="123">
        <f>MAX(AM14:AM17)+1</f>
        <v>1</v>
      </c>
      <c r="AN18" s="123">
        <f>MAX(AN14:AN17)+1</f>
        <v>1</v>
      </c>
      <c r="AO18" s="123">
        <f>MAX(AO14:AO17)+1</f>
        <v>1</v>
      </c>
      <c r="AP18" s="123">
        <f>MAX(AP14:AP17)+1</f>
        <v>1.0008246999999999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6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6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0</v>
      </c>
      <c r="AJ20" s="123">
        <f>SUMIF($E$7:$E$78,$AE20,$G$7:$G$78) + SUMIF($H$7:$H$78,$AE20,$F$7:$F$78)</f>
        <v>0</v>
      </c>
      <c r="AL20" s="123">
        <f>AI20-AJ20</f>
        <v>0</v>
      </c>
      <c r="AM20" s="123">
        <f>AL20-AL24</f>
        <v>0</v>
      </c>
      <c r="AN20" s="123">
        <f>AF20*3+AG20</f>
        <v>0</v>
      </c>
      <c r="AO20" s="123">
        <f>AN20/AN24*10+BA20</f>
        <v>0</v>
      </c>
      <c r="AP20" s="123">
        <f>AO20*10000000+BI20*100+AM20/AM24*10+AI20/AI24*1++IF(AQ20=0,ROW(),AQ20)/2000000</f>
        <v>8.8058000000000006E-4</v>
      </c>
      <c r="AQ20" s="126">
        <f>VLOOKUP(AE20,db_fifarank,2,FALSE)</f>
        <v>1761.16</v>
      </c>
      <c r="AR20" s="125">
        <f>AP20/AP24</f>
        <v>8.7980526108319542E-4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6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Brazil</v>
      </c>
      <c r="K21" s="31">
        <f>L21+M21+N21</f>
        <v>0</v>
      </c>
      <c r="L21" s="31">
        <f>VLOOKUP(1,AD20:AN23,3,FALSE)</f>
        <v>0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0 - 0</v>
      </c>
      <c r="P21" s="32">
        <f>L21*3+M21</f>
        <v>0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0</v>
      </c>
      <c r="AH21" s="123">
        <f>COUNTIF($S$7:$T$78,"=" &amp; AE21 &amp; "_lose")</f>
        <v>0</v>
      </c>
      <c r="AI21" s="123">
        <f>SUMIF($E$7:$E$78,$AE21,$F$7:$F$78) + SUMIF($H$7:$H$78,$AE21,$G$7:$G$78)</f>
        <v>0</v>
      </c>
      <c r="AJ21" s="123">
        <f>SUMIF($E$7:$E$78,$AE21,$G$7:$G$78) + SUMIF($H$7:$H$78,$AE21,$F$7:$F$78)</f>
        <v>0</v>
      </c>
      <c r="AL21" s="123">
        <f>AI21-AJ21</f>
        <v>0</v>
      </c>
      <c r="AM21" s="123">
        <f>AL21-AL24</f>
        <v>0</v>
      </c>
      <c r="AN21" s="123">
        <f>AF21*3+AG21</f>
        <v>0</v>
      </c>
      <c r="AO21" s="123">
        <f>AN21/AN24*10+BA21</f>
        <v>0</v>
      </c>
      <c r="AP21" s="123">
        <f>AO21*10000000+BI21*100+AM21/AM24*10+AI21/AI24*1++IF(AQ21=0,ROW(),AQ21)/2000000</f>
        <v>8.7793499999999994E-4</v>
      </c>
      <c r="AQ21" s="126">
        <f>VLOOKUP(AE21,db_fifarank,2,FALSE)</f>
        <v>1755.87</v>
      </c>
      <c r="AR21" s="125">
        <f>AP21/AP24</f>
        <v>8.771625881681108E-4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0</v>
      </c>
      <c r="AV21" s="126" cm="1">
        <f t="array" ref="AV21">SUMPRODUCT(($E$7:$E$78=AE21)*($U$7:$U$78)*($F$7:$F$78))+SUMPRODUCT(($H$7:$H$78=AE21)*($U$7:$U$78)*($G$7:$G$78))</f>
        <v>0</v>
      </c>
      <c r="AW21" s="126" cm="1">
        <f t="array" ref="AW21">SUMPRODUCT(($E$7:$E$78=AE21)*($U$7:$U$78)*($G$7:$G$78))+SUMPRODUCT(($H$7:$H$78=AE21)*($U$7:$U$78)*($F$7:$F$78))</f>
        <v>0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0</v>
      </c>
      <c r="BA21" s="126">
        <f>AZ21/AZ24</f>
        <v>0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0</v>
      </c>
      <c r="BD21" s="126" cm="1">
        <f t="array" ref="BD21">SUMPRODUCT(($E$7:$E$78=AE21)*($X$7:$X$78)*($F$7:$F$78))+SUMPRODUCT(($H$7:$H$78=AE21)*($X$7:$X$78)*($G$7:$G$78))</f>
        <v>0</v>
      </c>
      <c r="BE21" s="126" cm="1">
        <f t="array" ref="BE21">SUMPRODUCT(($E$7:$E$78=AE21)*($X$7:$X$78)*($G$7:$G$78))+SUMPRODUCT(($H$7:$H$78=AE21)*($X$7:$X$78)*($F$7:$F$78))</f>
        <v>0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0</v>
      </c>
      <c r="BI21" s="126">
        <f>BH21/BH24</f>
        <v>0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6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Morocco</v>
      </c>
      <c r="K22" s="23">
        <f>L22+M22+N22</f>
        <v>0</v>
      </c>
      <c r="L22" s="23">
        <f>VLOOKUP(2,AD20:AN23,3,FALSE)</f>
        <v>0</v>
      </c>
      <c r="M22" s="23">
        <f>VLOOKUP(2,AD20:AN23,4,FALSE)</f>
        <v>0</v>
      </c>
      <c r="N22" s="23">
        <f>VLOOKUP(2,AD20:AN23,5,FALSE)</f>
        <v>0</v>
      </c>
      <c r="O22" s="23" t="str">
        <f>VLOOKUP(2,AD20:AN23,6,FALSE) &amp; " - " &amp; VLOOKUP(2,AD20:AN23,7,FALSE)</f>
        <v>0 - 0</v>
      </c>
      <c r="P22" s="34">
        <f>L22*3+M22</f>
        <v>0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0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0</v>
      </c>
      <c r="AL22" s="123">
        <f>AI22-AJ22</f>
        <v>0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6.4528677337310309E-4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Scotland</v>
      </c>
      <c r="K23" s="23">
        <f>L23+M23+N23</f>
        <v>0</v>
      </c>
      <c r="L23" s="23">
        <f>VLOOKUP(3,AD20:AN23,3,FALSE)</f>
        <v>0</v>
      </c>
      <c r="M23" s="23">
        <f>VLOOKUP(3,AD20:AN23,4,FALSE)</f>
        <v>0</v>
      </c>
      <c r="N23" s="23">
        <f>VLOOKUP(3,AD20:AN23,5,FALSE)</f>
        <v>0</v>
      </c>
      <c r="O23" s="23" t="str">
        <f>VLOOKUP(3,AD20:AN23,6,FALSE) &amp; " - " &amp; VLOOKUP(3,AD20:AN23,7,FALSE)</f>
        <v>0 - 0</v>
      </c>
      <c r="P23" s="34">
        <f>L23*3+M23</f>
        <v>0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0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0</v>
      </c>
      <c r="AJ23" s="123">
        <f>SUMIF($E$7:$E$78,$AE23,$G$7:$G$78) + SUMIF($H$7:$H$78,$AE23,$F$7:$F$78)</f>
        <v>0</v>
      </c>
      <c r="AL23" s="123">
        <f>AI23-AJ23</f>
        <v>0</v>
      </c>
      <c r="AM23" s="123">
        <f>AL23-AL24</f>
        <v>0</v>
      </c>
      <c r="AN23" s="123">
        <f>AF23*3+AG23</f>
        <v>0</v>
      </c>
      <c r="AO23" s="123">
        <f>AN23/AN24*10+BA23</f>
        <v>0</v>
      </c>
      <c r="AP23" s="123">
        <f>AO23*10000000+BI23*100+AM23/AM24*10+AI23/AI24*1++IF(AQ23=0,ROW(),AQ23)/2000000</f>
        <v>7.4917499999999993E-4</v>
      </c>
      <c r="AQ23" s="126">
        <f>VLOOKUP(AE23,db_fifarank,2,FALSE)</f>
        <v>1498.35</v>
      </c>
      <c r="AR23" s="125">
        <f>AP23/AP24</f>
        <v>7.4851587189352792E-4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6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0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0</v>
      </c>
      <c r="O24" s="36" t="str">
        <f>VLOOKUP(4,AD20:AN23,6,FALSE) &amp; " - " &amp; VLOOKUP(4,AD20:AN23,7,FALSE)</f>
        <v>0 - 0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1</v>
      </c>
      <c r="AG24" s="123">
        <f t="shared" si="14"/>
        <v>1</v>
      </c>
      <c r="AH24" s="123">
        <f t="shared" si="14"/>
        <v>1</v>
      </c>
      <c r="AI24" s="123">
        <f>MAX(AI20:AI23)+1</f>
        <v>1</v>
      </c>
      <c r="AL24" s="123">
        <f>MIN(AL20:AL23)</f>
        <v>0</v>
      </c>
      <c r="AM24" s="123">
        <f>MAX(AM20:AM23)+1</f>
        <v>1</v>
      </c>
      <c r="AN24" s="123">
        <f>MAX(AN20:AN23)+1</f>
        <v>1</v>
      </c>
      <c r="AO24" s="123">
        <f>MAX(AO20:AO23)+1</f>
        <v>1</v>
      </c>
      <c r="AP24" s="123">
        <f>MAX(AP20:AP23)+1</f>
        <v>1.00088058</v>
      </c>
      <c r="AT24" s="126">
        <f>MAX(AT20:AT23)-MIN(AT20:AT23)+1</f>
        <v>1</v>
      </c>
      <c r="AU24" s="126">
        <f>MAX(AU20:AU23)-MIN(AU20:AU23)+1</f>
        <v>1</v>
      </c>
      <c r="AV24" s="126">
        <f>MAX(AV20:AV23)-MIN(AV20:AV23)+1</f>
        <v>1</v>
      </c>
      <c r="AW24" s="126">
        <f>MAX(AW20:AW23)-MIN(AW20:AW23)+1</f>
        <v>1</v>
      </c>
      <c r="AY24" s="126">
        <f>MAX(AY20:AY23)-MIN(AY20:AY23)+1</f>
        <v>1</v>
      </c>
      <c r="AZ24" s="126">
        <f>MAX(AZ20:AZ23)+1</f>
        <v>1</v>
      </c>
      <c r="BB24" s="126">
        <f>MAX(BB20:BB23)-MIN(BB20:BB23)+1</f>
        <v>1</v>
      </c>
      <c r="BC24" s="126">
        <f>MAX(BC20:BC23)-MIN(BC20:BC23)+1</f>
        <v>1</v>
      </c>
      <c r="BD24" s="126">
        <f>MAX(BD20:BD23)-MIN(BD20:BD23)+1</f>
        <v>1</v>
      </c>
      <c r="BE24" s="126">
        <f>MAX(BE20:BE23)-MIN(BE20:BE23)+1</f>
        <v>1</v>
      </c>
      <c r="BG24" s="126">
        <f>MAX(BG20:BG23)-MIN(BG20:BG23)+1</f>
        <v>1</v>
      </c>
      <c r="BH24" s="126">
        <f>MAX(BH20:BH23)+1</f>
        <v>1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6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0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0</v>
      </c>
      <c r="AJ26" s="123">
        <f>SUMIF($E$7:$E$78,$AE26,$G$7:$G$78) + SUMIF($H$7:$H$78,$AE26,$F$7:$F$78)</f>
        <v>0</v>
      </c>
      <c r="AL26" s="123">
        <f>AI26-AJ26</f>
        <v>0</v>
      </c>
      <c r="AM26" s="123">
        <f>AL26-AL30</f>
        <v>0</v>
      </c>
      <c r="AN26" s="123">
        <f>AF26*3+AG26</f>
        <v>0</v>
      </c>
      <c r="AO26" s="123">
        <f>AN26/AN30*10+BA26</f>
        <v>0</v>
      </c>
      <c r="AP26" s="123">
        <f>AO26*10000000+BI26*100+AM26/AM30*10+AI26/AI30*1++IF(AQ26=0,ROW(),AQ26)/2000000</f>
        <v>8.3656500000000005E-4</v>
      </c>
      <c r="AQ26" s="126">
        <f>VLOOKUP(AE26,db_fifarank,2,FALSE)</f>
        <v>1673.13</v>
      </c>
      <c r="AR26" s="125">
        <f>AP26/AP30</f>
        <v>8.3586574397389256E-4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0</v>
      </c>
      <c r="L27" s="31">
        <f>VLOOKUP(1,AD26:AN29,3,FALSE)</f>
        <v>0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0 - 0</v>
      </c>
      <c r="P27" s="32">
        <f>L27*3+M27</f>
        <v>0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0</v>
      </c>
      <c r="AI27" s="123">
        <f>SUMIF($E$7:$E$78,$AE27,$F$7:$F$78) + SUMIF($H$7:$H$78,$AE27,$G$7:$G$78)</f>
        <v>0</v>
      </c>
      <c r="AJ27" s="123">
        <f>SUMIF($E$7:$E$78,$AE27,$G$7:$G$78) + SUMIF($H$7:$H$78,$AE27,$F$7:$F$78)</f>
        <v>0</v>
      </c>
      <c r="AL27" s="123">
        <f>AI27-AJ27</f>
        <v>0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7.5175000000000003E-4</v>
      </c>
      <c r="AQ27" s="126">
        <f>VLOOKUP(AE27,db_fifarank,2,FALSE)</f>
        <v>1503.5</v>
      </c>
      <c r="AR27" s="125">
        <f>AP27/AP30</f>
        <v>7.5112163792696765E-4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6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Turkey</v>
      </c>
      <c r="K28" s="23">
        <f>L28+M28+N28</f>
        <v>0</v>
      </c>
      <c r="L28" s="23">
        <f>VLOOKUP(2,AD26:AN29,3,FALSE)</f>
        <v>0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0 - 0</v>
      </c>
      <c r="P28" s="34">
        <f>L28*3+M28</f>
        <v>0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3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0</v>
      </c>
      <c r="AL28" s="123">
        <f>AI28-AJ28</f>
        <v>0</v>
      </c>
      <c r="AM28" s="123">
        <f>AL28-AL30</f>
        <v>0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7.9033500000000008E-4</v>
      </c>
      <c r="AQ28" s="126">
        <f>VLOOKUP(AE28,db_fifarank,2,FALSE)</f>
        <v>1580.67</v>
      </c>
      <c r="AR28" s="125">
        <f>AP28/AP30</f>
        <v>7.8967438604723647E-4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6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Australia</v>
      </c>
      <c r="K29" s="23">
        <f>L29+M29+N29</f>
        <v>0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0</v>
      </c>
      <c r="O29" s="23" t="str">
        <f>VLOOKUP(3,AD26:AN29,6,FALSE) &amp; " - " &amp; VLOOKUP(3,AD26:AN29,7,FALSE)</f>
        <v>0 - 0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0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0</v>
      </c>
      <c r="AL29" s="123">
        <f>AI29-AJ29</f>
        <v>0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7.9885170862037803E-4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6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0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0</v>
      </c>
      <c r="O30" s="36" t="str">
        <f>VLOOKUP(4,AD26:AN29,6,FALSE) &amp; " - " &amp; VLOOKUP(4,AD26:AN29,7,FALSE)</f>
        <v>0 - 0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1</v>
      </c>
      <c r="AG30" s="123">
        <f t="shared" si="15"/>
        <v>1</v>
      </c>
      <c r="AH30" s="123">
        <f t="shared" si="15"/>
        <v>1</v>
      </c>
      <c r="AI30" s="123">
        <f>MAX(AI26:AI29)+1</f>
        <v>1</v>
      </c>
      <c r="AL30" s="123">
        <f>MIN(AL26:AL29)</f>
        <v>0</v>
      </c>
      <c r="AM30" s="123">
        <f>MAX(AM26:AM29)+1</f>
        <v>1</v>
      </c>
      <c r="AN30" s="123">
        <f>MAX(AN26:AN29)+1</f>
        <v>1</v>
      </c>
      <c r="AO30" s="123">
        <f>MAX(AO26:AO29)+1</f>
        <v>1</v>
      </c>
      <c r="AP30" s="123">
        <f>MAX(AP26:AP29)+1</f>
        <v>1.000836565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6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/>
      </c>
      <c r="T31" s="127" t="str">
        <f>IF(S31="","",IF(F31&lt;G31,H31&amp;"_win",IF(F31&gt;G31,H31&amp;"_lose",H31&amp;"_draw")))</f>
        <v/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 t="str">
        <f>IF(OR(F31="",G31=""),"",IF(F31&gt;G31,1,IF(F31&lt;G31,-1,0)))</f>
        <v/>
      </c>
      <c r="BK31" s="16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/>
      </c>
      <c r="T32" s="127" t="str">
        <f>IF(S32="","",IF(F32&lt;G32,H32&amp;"_win",IF(F32&gt;G32,H32&amp;"_lose",H32&amp;"_draw")))</f>
        <v/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 t="str">
        <f>IF(OR(F32="",G32=""),"",IF(F32&gt;G32,1,IF(F32&lt;G32,-1,0)))</f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6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65" t="str" cm="1">
        <f t="array" ref="CM33">INDEX(T,8,lang)</f>
        <v>Final</v>
      </c>
      <c r="CN33" s="166"/>
      <c r="CO33" s="166"/>
      <c r="CP33" s="166"/>
      <c r="CQ33" s="167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68"/>
      <c r="CN34" s="169"/>
      <c r="CO34" s="169"/>
      <c r="CP34" s="169"/>
      <c r="CQ34" s="170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6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6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6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6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6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6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6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6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6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65" t="str" cm="1">
        <f t="array" ref="CM44">INDEX(T,7,lang)</f>
        <v>Third-Place Play-Off</v>
      </c>
      <c r="CN44" s="166"/>
      <c r="CO44" s="166"/>
      <c r="CP44" s="166"/>
      <c r="CQ44" s="167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6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68"/>
      <c r="CN45" s="169"/>
      <c r="CO45" s="169"/>
      <c r="CP45" s="169"/>
      <c r="CQ45" s="170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6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6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6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6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6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6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6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6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6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6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6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6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6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6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6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6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6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6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6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95" t="str">
        <f>INDEX(T,144,lang)</f>
        <v>World Champion 2026</v>
      </c>
      <c r="CF68" s="195"/>
      <c r="CG68" s="195"/>
      <c r="CH68" s="195"/>
      <c r="CI68" s="195"/>
      <c r="CJ68" s="195"/>
      <c r="CK68" s="185" t="str">
        <f>IF(CR37&gt;CR38,CN37,IF(CR37&lt;CR38,CN38,""))</f>
        <v/>
      </c>
      <c r="CL68" s="185"/>
      <c r="CM68" s="185"/>
      <c r="CN68" s="185"/>
      <c r="CO68" s="185"/>
      <c r="CP68" s="185"/>
      <c r="CQ68" s="185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6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95"/>
      <c r="CF69" s="195"/>
      <c r="CG69" s="195"/>
      <c r="CH69" s="195"/>
      <c r="CI69" s="195"/>
      <c r="CJ69" s="195"/>
      <c r="CK69" s="185"/>
      <c r="CL69" s="185"/>
      <c r="CM69" s="185"/>
      <c r="CN69" s="185"/>
      <c r="CO69" s="185"/>
      <c r="CP69" s="185"/>
      <c r="CQ69" s="185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6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12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0</v>
      </c>
      <c r="AN80" s="123">
        <f>VLOOKUP($AE80,$AE$8:$AQ$78,10,FALSE)</f>
        <v>0</v>
      </c>
      <c r="AP80" s="123">
        <f>AN80/AN92*10000+AM80/AM92*1000+AI80/AI92*100+IF(AQ80=0,ROW(),AQ80)/2000000</f>
        <v>50.000750689999997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Ⓓ Australia</v>
      </c>
      <c r="K81" s="97">
        <f>L81+M81+N81</f>
        <v>0</v>
      </c>
      <c r="L81" s="97">
        <f>VLOOKUP(1,$AD$80:$AN$91,3,FALSE)</f>
        <v>0</v>
      </c>
      <c r="M81" s="97">
        <f>VLOOKUP(1,$AD$80:$AN$91,4,FALSE)</f>
        <v>0</v>
      </c>
      <c r="N81" s="97">
        <f>VLOOKUP(1,$AD$80:$AN$91,5,FALSE)</f>
        <v>0</v>
      </c>
      <c r="O81" s="97" t="str">
        <f>VLOOKUP(1,$AD$80:$AN$91,6,FALSE) &amp; " - " &amp; VLOOKUP(1,$AD$80:$AN$91,7,FALSE)</f>
        <v>0 - 0</v>
      </c>
      <c r="P81" s="98">
        <f>L81*3+M81</f>
        <v>0</v>
      </c>
      <c r="AD81" s="123">
        <f t="shared" ref="AD81:AD91" si="38">COUNTIF($AP$80:$AP$91,CONCATENATE("&gt;=",AP81))</f>
        <v>10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0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0</v>
      </c>
      <c r="AJ81" s="123">
        <f t="shared" ref="AJ81:AJ90" si="42">VLOOKUP($AE81,$AE$8:$AQ$78,6,FALSE)</f>
        <v>0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1</v>
      </c>
      <c r="AN81" s="123">
        <f t="shared" ref="AN81:AN90" si="45">VLOOKUP($AE81,$AE$8:$AQ$78,10,FALSE)</f>
        <v>0</v>
      </c>
      <c r="AP81" s="123">
        <f>AN81/AN92*10000+AM81/AM92*1000+AI81/AI92*100+IF(AQ81=0,ROW(),AQ81)/2000000</f>
        <v>500.00072748000002</v>
      </c>
      <c r="AQ81" s="126">
        <f t="shared" si="37"/>
        <v>1454.96</v>
      </c>
      <c r="AR81" s="125" t="str">
        <f>AR80&amp;IF(AD81&lt;=8,RIGHT(AK81,1),"")</f>
        <v/>
      </c>
      <c r="AS81" s="129" t="str">
        <f t="shared" ref="AS81:AS91" si="46">IF(AD81&lt;=8,AE81,"")</f>
        <v/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Ⓙ Algeria</v>
      </c>
      <c r="K82" s="100">
        <f t="shared" ref="K82:K92" si="47">L82+M82+N82</f>
        <v>0</v>
      </c>
      <c r="L82" s="100">
        <f>VLOOKUP(2,$AD$80:$AN$91,3,FALSE)</f>
        <v>0</v>
      </c>
      <c r="M82" s="100">
        <f>VLOOKUP(2,$AD$80:$AN$91,4,FALSE)</f>
        <v>0</v>
      </c>
      <c r="N82" s="100">
        <f>VLOOKUP(2,$AD$80:$AN$91,5,FALSE)</f>
        <v>0</v>
      </c>
      <c r="O82" s="100" t="str">
        <f>VLOOKUP(2,$AD$80:$AN$91,6,FALSE) &amp; " - " &amp; VLOOKUP(2,$AD$80:$AN$91,7,FALSE)</f>
        <v>0 - 0</v>
      </c>
      <c r="P82" s="101">
        <f t="shared" ref="P82:P92" si="48">L82*3+M82</f>
        <v>0</v>
      </c>
      <c r="AD82" s="123">
        <f t="shared" si="38"/>
        <v>8</v>
      </c>
      <c r="AE82" s="124" t="str">
        <f>J23</f>
        <v>Scotland</v>
      </c>
      <c r="AF82" s="123">
        <f t="shared" si="39"/>
        <v>0</v>
      </c>
      <c r="AG82" s="123">
        <f t="shared" ref="AG82:AG91" si="49">VLOOKUP($AE82,$AE$8:$AQ$78,3,FALSE)</f>
        <v>0</v>
      </c>
      <c r="AH82" s="123">
        <f t="shared" si="40"/>
        <v>0</v>
      </c>
      <c r="AI82" s="123">
        <f t="shared" si="41"/>
        <v>0</v>
      </c>
      <c r="AJ82" s="123">
        <f t="shared" si="42"/>
        <v>0</v>
      </c>
      <c r="AK82" s="123" t="s">
        <v>3182</v>
      </c>
      <c r="AL82" s="123">
        <f t="shared" si="43"/>
        <v>0</v>
      </c>
      <c r="AM82" s="123">
        <f t="shared" si="44"/>
        <v>1</v>
      </c>
      <c r="AN82" s="123">
        <f t="shared" si="45"/>
        <v>0</v>
      </c>
      <c r="AP82" s="123">
        <f>AN82/AN92*10000+AM82/AM92*1000+AI82/AI92*100+IF(AQ82=0,ROW(),AQ82)/2000000</f>
        <v>500.00074917500001</v>
      </c>
      <c r="AQ82" s="126">
        <f t="shared" si="37"/>
        <v>1498.35</v>
      </c>
      <c r="AR82" s="125" t="str">
        <f t="shared" ref="AR82:AR91" si="50">AR81&amp;IF(AD82&lt;=8,RIGHT(AK82,1),"")</f>
        <v>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">
      <c r="A83" s="73"/>
      <c r="B83" s="73"/>
      <c r="C83" s="186" t="s">
        <v>3183</v>
      </c>
      <c r="D83" s="187"/>
      <c r="E83" s="187"/>
      <c r="F83" s="187"/>
      <c r="G83" s="188"/>
      <c r="H83" s="75"/>
      <c r="I83" s="69"/>
      <c r="J83" s="99" t="str">
        <f>VLOOKUP(3,$AD$80:$AT$91,17,FALSE)</f>
        <v>Ⓖ Egypt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1</v>
      </c>
      <c r="AE83" s="124" t="str">
        <f>J29</f>
        <v>Australia</v>
      </c>
      <c r="AF83" s="123">
        <f t="shared" si="39"/>
        <v>0</v>
      </c>
      <c r="AG83" s="123">
        <f t="shared" si="49"/>
        <v>0</v>
      </c>
      <c r="AH83" s="123">
        <f t="shared" si="40"/>
        <v>0</v>
      </c>
      <c r="AI83" s="123">
        <f t="shared" si="41"/>
        <v>0</v>
      </c>
      <c r="AJ83" s="123">
        <f t="shared" si="42"/>
        <v>0</v>
      </c>
      <c r="AK83" s="123" t="s">
        <v>3184</v>
      </c>
      <c r="AL83" s="123">
        <f t="shared" si="43"/>
        <v>0</v>
      </c>
      <c r="AM83" s="123">
        <f t="shared" si="44"/>
        <v>1</v>
      </c>
      <c r="AN83" s="123">
        <f t="shared" si="45"/>
        <v>0</v>
      </c>
      <c r="AP83" s="123">
        <f>AN83/AN92*10000+AM83/AM92*1000+AI83/AI92*100+IF(AQ83=0,ROW(),AQ83)/2000000</f>
        <v>500.00079033499998</v>
      </c>
      <c r="AQ83" s="126">
        <f t="shared" si="37"/>
        <v>1580.67</v>
      </c>
      <c r="AR83" s="125" t="str">
        <f t="shared" si="50"/>
        <v>CD</v>
      </c>
      <c r="AS83" s="129" t="str">
        <f t="shared" si="46"/>
        <v>Australia</v>
      </c>
      <c r="AT83" s="130" t="str">
        <f>"Ⓓ "&amp;AE83</f>
        <v>Ⓓ Australia</v>
      </c>
    </row>
    <row r="84" spans="1:46" ht="15" customHeight="1" x14ac:dyDescent="0.2">
      <c r="A84" s="73"/>
      <c r="B84" s="73"/>
      <c r="C84" s="189"/>
      <c r="D84" s="190"/>
      <c r="E84" s="190"/>
      <c r="F84" s="190"/>
      <c r="G84" s="191"/>
      <c r="H84" s="75"/>
      <c r="I84" s="69"/>
      <c r="J84" s="99" t="str">
        <f>VLOOKUP(4,$AD$80:$AT$91,17,FALSE)</f>
        <v>Ⓘ Norway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6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500.00076648999999</v>
      </c>
      <c r="AQ84" s="126">
        <f t="shared" si="37"/>
        <v>1532.98</v>
      </c>
      <c r="AR84" s="125" t="str">
        <f t="shared" si="50"/>
        <v>CDE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">
      <c r="A85" s="73"/>
      <c r="B85" s="73"/>
      <c r="C85" s="189"/>
      <c r="D85" s="190"/>
      <c r="E85" s="190"/>
      <c r="F85" s="190"/>
      <c r="G85" s="191"/>
      <c r="H85" s="75"/>
      <c r="I85" s="69"/>
      <c r="J85" s="99" t="str">
        <f>VLOOKUP(5,$AD$80:$AT$91,17,FALSE)</f>
        <v>Ⓛ Panama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7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1</v>
      </c>
      <c r="AN85" s="123">
        <f t="shared" si="45"/>
        <v>0</v>
      </c>
      <c r="AP85" s="123">
        <f>AN85/AN92*10000+AM85/AM92*1000+AI85/AI92*100+IF(AQ85=0,ROW(),AQ85)/2000000</f>
        <v>500.00075738499999</v>
      </c>
      <c r="AQ85" s="126">
        <f t="shared" si="37"/>
        <v>1514.77</v>
      </c>
      <c r="AR85" s="125" t="str">
        <f t="shared" si="50"/>
        <v>CDEF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89"/>
      <c r="D86" s="190"/>
      <c r="E86" s="190"/>
      <c r="F86" s="190"/>
      <c r="G86" s="191"/>
      <c r="H86" s="75"/>
      <c r="I86" s="69"/>
      <c r="J86" s="99" t="str">
        <f>VLOOKUP(6,$AD$80:$AT$91,17,FALSE)</f>
        <v>Ⓔ Ivory Coast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1</v>
      </c>
      <c r="AN86" s="123">
        <f t="shared" si="45"/>
        <v>0</v>
      </c>
      <c r="AP86" s="123">
        <f>AN86/AN92*10000+AM86/AM92*1000+AI86/AI92*100+IF(AQ86=0,ROW(),AQ86)/2000000</f>
        <v>500.00078162</v>
      </c>
      <c r="AQ86" s="126">
        <f t="shared" si="37"/>
        <v>1563.24</v>
      </c>
      <c r="AR86" s="125" t="str">
        <f t="shared" si="50"/>
        <v>CDEFG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">
      <c r="A87" s="73"/>
      <c r="B87" s="73"/>
      <c r="C87" s="189"/>
      <c r="D87" s="190"/>
      <c r="E87" s="190"/>
      <c r="F87" s="190"/>
      <c r="G87" s="191"/>
      <c r="H87" s="75"/>
      <c r="I87" s="69"/>
      <c r="J87" s="99" t="str">
        <f>VLOOKUP(7,$AD$80:$AT$91,17,FALSE)</f>
        <v>Ⓕ Sweden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11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1</v>
      </c>
      <c r="AN87" s="123">
        <f t="shared" si="45"/>
        <v>0</v>
      </c>
      <c r="AP87" s="123">
        <f>AN87/AN92*10000+AM87/AM92*1000+AI87/AI92*100+IF(AQ87=0,ROW(),AQ87)/2000000</f>
        <v>500.00071071500003</v>
      </c>
      <c r="AQ87" s="126">
        <f t="shared" si="37"/>
        <v>1421.43</v>
      </c>
      <c r="AR87" s="125" t="str">
        <f t="shared" si="50"/>
        <v>CDEFG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">
      <c r="A88" s="73"/>
      <c r="B88" s="73"/>
      <c r="C88" s="192"/>
      <c r="D88" s="193"/>
      <c r="E88" s="193"/>
      <c r="F88" s="193"/>
      <c r="G88" s="194"/>
      <c r="H88" s="75"/>
      <c r="I88" s="69"/>
      <c r="J88" s="99" t="str">
        <f>VLOOKUP(8,$AD$80:$AT$91,17,FALSE)</f>
        <v>Ⓒ Scotland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4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500.00077547000001</v>
      </c>
      <c r="AQ88" s="126">
        <f t="shared" si="37"/>
        <v>1550.94</v>
      </c>
      <c r="AR88" s="125" t="str">
        <f t="shared" si="50"/>
        <v>CDEFGI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2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500.00078213</v>
      </c>
      <c r="AQ89" s="126">
        <f t="shared" si="37"/>
        <v>1564.26</v>
      </c>
      <c r="AR89" s="125" t="str">
        <f t="shared" si="50"/>
        <v>CDEFGIJ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Ⓑ Qatar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1</v>
      </c>
      <c r="AN90" s="123">
        <f t="shared" si="45"/>
        <v>0</v>
      </c>
      <c r="AP90" s="123">
        <f>AN90/AN92*10000+AM90/AM92*1000+AI90/AI92*100+IF(AQ90=0,ROW(),AQ90)/2000000</f>
        <v>500.00073917499998</v>
      </c>
      <c r="AQ90" s="126">
        <f t="shared" si="37"/>
        <v>1478.35</v>
      </c>
      <c r="AR90" s="125" t="str">
        <f t="shared" si="50"/>
        <v>CDEFGIJ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Ⓗ Saudi Arabia</v>
      </c>
      <c r="K91" s="103">
        <f t="shared" si="47"/>
        <v>0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0</v>
      </c>
      <c r="O91" s="103" t="str">
        <f>VLOOKUP(11,$AD$80:$AN$91,6,FALSE) &amp; " - " &amp; VLOOKUP(11,$AD$80:$AN$91,7,FALSE)</f>
        <v>0 - 0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5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1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CDEFGIJL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Ⓐ Czech Republic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1 - 2</v>
      </c>
      <c r="P92" s="107">
        <f t="shared" si="48"/>
        <v>0</v>
      </c>
      <c r="AF92" s="123">
        <f>MAX(AF80:AF91)+1</f>
        <v>1</v>
      </c>
      <c r="AG92" s="123">
        <f>MAX(AG80:AG91)+1</f>
        <v>1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-1</v>
      </c>
      <c r="AM92" s="123">
        <f>MAX(AM80:AM91)+1</f>
        <v>2</v>
      </c>
      <c r="AN92" s="123">
        <f>MAX(AN80:AN91)+1</f>
        <v>1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38</v>
      </c>
      <c r="C3" s="121" t="str">
        <f>'2026 World Cup'!AR91</f>
        <v>CDEFGIJL</v>
      </c>
      <c r="D3" s="121" t="str">
        <f>VLOOKUP($C3,$C$6:$K$500,2,FALSE)</f>
        <v>3C</v>
      </c>
      <c r="E3" s="121" t="str">
        <f>VLOOKUP($C3,$C$6:$K$500,3,FALSE)</f>
        <v>3G</v>
      </c>
      <c r="F3" s="121" t="str">
        <f>VLOOKUP($C3,$C$6:$K$500,4,FALSE)</f>
        <v>3E</v>
      </c>
      <c r="G3" s="121" t="str">
        <f>VLOOKUP($C3,$C$6:$K$500,5,FALSE)</f>
        <v>3D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tabSelected="1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2026-06-12T18:28:53Z</dcterms:modified>
  <cp:category>Sports</cp:category>
  <cp:contentStatus/>
</cp:coreProperties>
</file>