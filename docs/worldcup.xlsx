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5DB22C1C-201B-AE4B-AAC8-4D762A6904D8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6" l="1"/>
  <c r="N12" i="6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1" i="6"/>
  <c r="O10" i="6"/>
  <c r="O9" i="6"/>
  <c r="O8" i="6"/>
  <c r="O7" i="6"/>
  <c r="O6" i="6"/>
  <c r="O5" i="6"/>
  <c r="O4" i="6"/>
  <c r="O3" i="6"/>
  <c r="N15" i="6"/>
  <c r="N14" i="6"/>
  <c r="N13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J35" i="3" l="1"/>
  <c r="AE84" i="3" s="1"/>
  <c r="AQ84" i="3" s="1"/>
  <c r="M10" i="3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90" i="3"/>
  <c r="T90" i="3" s="1" a="1"/>
  <c r="T90" i="3" s="1"/>
  <c r="BS36" i="3"/>
  <c r="K58" i="3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/>
  <c r="BS61" i="3" l="1"/>
  <c r="T8" i="6" s="1"/>
  <c r="BS20" i="3"/>
  <c r="K10" i="3"/>
  <c r="S88" i="3"/>
  <c r="T88" i="3" s="1" a="1"/>
  <c r="T88" i="3" s="1"/>
  <c r="P30" i="3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88" i="3" l="1"/>
  <c r="K83" i="3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BL67" i="3" s="1"/>
  <c r="J3" i="4"/>
  <c r="BL71" i="3" s="1"/>
  <c r="P17" i="6" s="1"/>
  <c r="I3" i="4"/>
  <c r="BL15" i="3" s="1"/>
  <c r="P3" i="6" s="1"/>
  <c r="H3" i="4"/>
  <c r="BL39" i="3" s="1"/>
  <c r="P9" i="6" s="1"/>
  <c r="K89" i="3"/>
  <c r="BS53" i="3"/>
  <c r="T7" i="6" s="1"/>
  <c r="BS52" i="3"/>
  <c r="BS69" i="3"/>
  <c r="T9" i="6" s="1"/>
  <c r="BS68" i="3"/>
  <c r="S84" i="3" l="1"/>
  <c r="T84" i="3" s="1" a="1"/>
  <c r="T84" i="3" s="1"/>
  <c r="BS12" i="3"/>
  <c r="Q2" i="6" s="1"/>
  <c r="Q9" i="6"/>
  <c r="BZ65" i="3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<sst xmlns="http://schemas.openxmlformats.org/spreadsheetml/2006/main" count="9910" uniqueCount="3716">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</sst>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18"/>
  <sheetViews>
    <sheetView tabSelected="1" workbookViewId="0">
      <selection activeCell="W4" sqref="W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N3" t="s">
        <v>1739</v>
      </c>
      <c r="O3" s="142">
        <f>IFERROR(_xlfn.XLOOKUP(N3,Rounds!M$2:M$17,Rounds!N$2:N$17), _xlfn.XLOOKUP(N3,Rounds!P$2:P$17,Rounds!O$2:O$17))</f>
        <v>2</v>
      </c>
      <c r="P3" s="142">
        <f>IFERROR(_xlfn.XLOOKUP(N3,Rounds!M$2:M$17,Rounds!O$2:O$17), _xlfn.XLOOKUP(N3,Rounds!P$2:P$17,Rounds!N$2:N$17))</f>
        <v>1</v>
      </c>
      <c r="Q3" s="140" t="str">
        <f>IFERROR(_xlfn.XLOOKUP(N3,Rounds!M$2:M$17,Rounds!P$2:P$17), _xlfn.XLOOKUP(N3,Rounds!P$2:P$17,Rounds!M$2:M$17))</f>
        <v>Japan</v>
      </c>
      <c r="R3" t="s">
        <v>1323</v>
      </c>
      <c r="S3" s="142">
        <f>IFERROR(_xlfn.XLOOKUP(R3,Rounds!Q$2:Q$9,Rounds!R$2:R$9), _xlfn.XLOOKUP(R3,Rounds!T$2:T$9,Rounds!S$2:S$9))</f>
        <v>2</v>
      </c>
      <c r="T3" s="142">
        <f>IFERROR(_xlfn.XLOOKUP(R3,Rounds!Q$2:Q$9,Rounds!S$2:S$9), _xlfn.XLOOKUP(R3,Rounds!T$2:T$9,Rounds!R$2:R$9))</f>
        <v>3</v>
      </c>
      <c r="U3" s="140" t="str">
        <f>IFERROR(_xlfn.XLOOKUP(R3,Rounds!Q$2:Q$9,Rounds!T$2:T$9), _xlfn.XLOOKUP(R3,Rounds!T$2:T$9,Rounds!Q$2:Q$9))</f>
        <v>England</v>
      </c>
      <c r="V3" t="s">
        <v>1633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str">
        <f>IFERROR(_xlfn.XLOOKUP(V3,Rounds!U$2:U$5,Rounds!X$2:X$5), _xlfn.XLOOKUP(V3,Rounds!X$2:X$5,Rounds!U$2:U$5))</f>
        <v>Spain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>
        <f>IFERROR(_xlfn.XLOOKUP(N4,Rounds!M$2:M$17,Rounds!N$2:N$17), _xlfn.XLOOKUP(N4,Rounds!P$2:P$17,Rounds!O$2:O$17))</f>
        <v>2</v>
      </c>
      <c r="P4" s="146">
        <f>IFERROR(_xlfn.XLOOKUP(N4,Rounds!M$2:M$17,Rounds!O$2:O$17), _xlfn.XLOOKUP(N4,Rounds!P$2:P$17,Rounds!N$2:N$17))</f>
        <v>1</v>
      </c>
      <c r="Q4" s="147" t="str">
        <f>IFERROR(_xlfn.XLOOKUP(N4,Rounds!M$2:M$17,Rounds!P$2:P$17), _xlfn.XLOOKUP(N4,Rounds!P$2:P$17,Rounds!M$2:M$17))</f>
        <v>DR Congo</v>
      </c>
      <c r="R4" s="148" t="s">
        <v>1323</v>
      </c>
      <c r="S4" s="146">
        <f>IFERROR(_xlfn.XLOOKUP(R4,Rounds!Q$2:Q$9,Rounds!R$2:R$9), _xlfn.XLOOKUP(R4,Rounds!T$2:T$9,Rounds!S$2:S$9))</f>
        <v>2</v>
      </c>
      <c r="T4" s="146">
        <f>IFERROR(_xlfn.XLOOKUP(R4,Rounds!Q$2:Q$9,Rounds!S$2:S$9), _xlfn.XLOOKUP(R4,Rounds!T$2:T$9,Rounds!R$2:R$9))</f>
        <v>3</v>
      </c>
      <c r="U4" s="147" t="str">
        <f>IFERROR(_xlfn.XLOOKUP(R4,Rounds!Q$2:Q$9,Rounds!T$2:T$9), _xlfn.XLOOKUP(R4,Rounds!T$2:T$9,Rounds!Q$2:Q$9))</f>
        <v>England</v>
      </c>
      <c r="V4" s="148" t="s">
        <v>2395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str">
        <f>IFERROR(_xlfn.XLOOKUP(V4,Rounds!U$2:U$5,Rounds!X$2:X$5), _xlfn.XLOOKUP(V4,Rounds!X$2:X$5,Rounds!U$2:U$5))</f>
        <v>England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N5" t="s">
        <v>1633</v>
      </c>
      <c r="O5" s="82">
        <f>IFERROR(_xlfn.XLOOKUP(N5,Rounds!M$2:M$17,Rounds!N$2:N$17), _xlfn.XLOOKUP(N5,Rounds!P$2:P$17,Rounds!O$2:O$17))</f>
        <v>3</v>
      </c>
      <c r="P5" s="82">
        <f>IFERROR(_xlfn.XLOOKUP(N5,Rounds!M$2:M$17,Rounds!O$2:O$17), _xlfn.XLOOKUP(N5,Rounds!P$2:P$17,Rounds!N$2:N$17))</f>
        <v>2</v>
      </c>
      <c r="Q5" s="134" t="str">
        <f>IFERROR(_xlfn.XLOOKUP(N5,Rounds!M$2:M$17,Rounds!P$2:P$17), _xlfn.XLOOKUP(N5,Rounds!P$2:P$17,Rounds!M$2:M$17))</f>
        <v>Senegal</v>
      </c>
      <c r="R5" t="s">
        <v>1677</v>
      </c>
      <c r="S5" s="82">
        <f>IFERROR(_xlfn.XLOOKUP(R5,Rounds!Q$2:Q$9,Rounds!R$2:R$9), _xlfn.XLOOKUP(R5,Rounds!T$2:T$9,Rounds!S$2:S$9))</f>
        <v>3</v>
      </c>
      <c r="T5" s="82">
        <f>IFERROR(_xlfn.XLOOKUP(R5,Rounds!Q$2:Q$9,Rounds!S$2:S$9), _xlfn.XLOOKUP(R5,Rounds!T$2:T$9,Rounds!R$2:R$9))</f>
        <v>0</v>
      </c>
      <c r="U5" s="134" t="str">
        <f>IFERROR(_xlfn.XLOOKUP(R5,Rounds!Q$2:Q$9,Rounds!T$2:T$9), _xlfn.XLOOKUP(R5,Rounds!T$2:T$9,Rounds!Q$2:Q$9))</f>
        <v>Canada</v>
      </c>
      <c r="V5" t="s">
        <v>1264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str">
        <f>IFERROR(_xlfn.XLOOKUP(V5,Rounds!U$2:U$5,Rounds!X$2:X$5), _xlfn.XLOOKUP(V5,Rounds!X$2:X$5,Rounds!U$2:U$5))</f>
        <v>Switzerland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N6" s="148" t="s">
        <v>1565</v>
      </c>
      <c r="O6" s="146">
        <f>IFERROR(_xlfn.XLOOKUP(N6,Rounds!M$2:M$17,Rounds!N$2:N$17), _xlfn.XLOOKUP(N6,Rounds!P$2:P$17,Rounds!O$2:O$17))</f>
        <v>1</v>
      </c>
      <c r="P6" s="146">
        <f>IFERROR(_xlfn.XLOOKUP(N6,Rounds!M$2:M$17,Rounds!O$2:O$17), _xlfn.XLOOKUP(N6,Rounds!P$2:P$17,Rounds!N$2:N$17))</f>
        <v>2</v>
      </c>
      <c r="Q6" s="147" t="str">
        <f>IFERROR(_xlfn.XLOOKUP(N6,Rounds!M$2:M$17,Rounds!P$2:P$17), _xlfn.XLOOKUP(N6,Rounds!P$2:P$17,Rounds!M$2:M$17))</f>
        <v>Paraguay</v>
      </c>
      <c r="R6" s="148" t="s">
        <v>1323</v>
      </c>
      <c r="S6" s="146">
        <f>IFERROR(_xlfn.XLOOKUP(R6,Rounds!Q$2:Q$9,Rounds!R$2:R$9), _xlfn.XLOOKUP(R6,Rounds!T$2:T$9,Rounds!S$2:S$9))</f>
        <v>2</v>
      </c>
      <c r="T6" s="146">
        <f>IFERROR(_xlfn.XLOOKUP(R6,Rounds!Q$2:Q$9,Rounds!S$2:S$9), _xlfn.XLOOKUP(R6,Rounds!T$2:T$9,Rounds!R$2:R$9))</f>
        <v>3</v>
      </c>
      <c r="U6" s="147" t="str">
        <f>IFERROR(_xlfn.XLOOKUP(R6,Rounds!Q$2:Q$9,Rounds!T$2:T$9), _xlfn.XLOOKUP(R6,Rounds!T$2:T$9,Rounds!Q$2:Q$9))</f>
        <v>England</v>
      </c>
      <c r="V6" s="148" t="s">
        <v>1508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str">
        <f>IFERROR(_xlfn.XLOOKUP(V6,Rounds!U$2:U$5,Rounds!X$2:X$5), _xlfn.XLOOKUP(V6,Rounds!X$2:X$5,Rounds!U$2:U$5))</f>
        <v>Belgium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N7" t="s">
        <v>1633</v>
      </c>
      <c r="O7" s="82">
        <f>IFERROR(_xlfn.XLOOKUP(N7,Rounds!M$2:M$17,Rounds!N$2:N$17), _xlfn.XLOOKUP(N7,Rounds!P$2:P$17,Rounds!O$2:O$17))</f>
        <v>3</v>
      </c>
      <c r="P7" s="82">
        <f>IFERROR(_xlfn.XLOOKUP(N7,Rounds!M$2:M$17,Rounds!O$2:O$17), _xlfn.XLOOKUP(N7,Rounds!P$2:P$17,Rounds!N$2:N$17))</f>
        <v>2</v>
      </c>
      <c r="Q7" s="134" t="str">
        <f>IFERROR(_xlfn.XLOOKUP(N7,Rounds!M$2:M$17,Rounds!P$2:P$17), _xlfn.XLOOKUP(N7,Rounds!P$2:P$17,Rounds!M$2:M$17))</f>
        <v>Senegal</v>
      </c>
      <c r="R7" t="s">
        <v>1508</v>
      </c>
      <c r="S7" s="82">
        <f>IFERROR(_xlfn.XLOOKUP(R7,Rounds!Q$2:Q$9,Rounds!R$2:R$9), _xlfn.XLOOKUP(R7,Rounds!T$2:T$9,Rounds!S$2:S$9))</f>
        <v>1</v>
      </c>
      <c r="T7" s="82">
        <f>IFERROR(_xlfn.XLOOKUP(R7,Rounds!Q$2:Q$9,Rounds!S$2:S$9), _xlfn.XLOOKUP(R7,Rounds!T$2:T$9,Rounds!R$2:R$9))</f>
        <v>0</v>
      </c>
      <c r="U7" s="134" t="str">
        <f>IFERROR(_xlfn.XLOOKUP(R7,Rounds!Q$2:Q$9,Rounds!T$2:T$9), _xlfn.XLOOKUP(R7,Rounds!T$2:T$9,Rounds!Q$2:Q$9))</f>
        <v>Portugal</v>
      </c>
      <c r="V7" t="s">
        <v>1264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str">
        <f>IFERROR(_xlfn.XLOOKUP(V7,Rounds!U$2:U$5,Rounds!X$2:X$5), _xlfn.XLOOKUP(V7,Rounds!X$2:X$5,Rounds!U$2:U$5))</f>
        <v>Switzerland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>
        <f>IFERROR(_xlfn.XLOOKUP(N8,Rounds!M$2:M$17,Rounds!N$2:N$17), _xlfn.XLOOKUP(N8,Rounds!P$2:P$17,Rounds!O$2:O$17))</f>
        <v>1</v>
      </c>
      <c r="P8" s="150">
        <f>IFERROR(_xlfn.XLOOKUP(N8,Rounds!M$2:M$17,Rounds!O$2:O$17), _xlfn.XLOOKUP(N8,Rounds!P$2:P$17,Rounds!N$2:N$17))</f>
        <v>0</v>
      </c>
      <c r="Q8" s="151" t="str">
        <f>IFERROR(_xlfn.XLOOKUP(N8,Rounds!M$2:M$17,Rounds!P$2:P$17), _xlfn.XLOOKUP(N8,Rounds!P$2:P$17,Rounds!M$2:M$17))</f>
        <v>South Africa</v>
      </c>
      <c r="R8" s="152" t="s">
        <v>1148</v>
      </c>
      <c r="S8" s="150">
        <f>IFERROR(_xlfn.XLOOKUP(R8,Rounds!Q$2:Q$9,Rounds!R$2:R$9), _xlfn.XLOOKUP(R8,Rounds!T$2:T$9,Rounds!S$2:S$9))</f>
        <v>3</v>
      </c>
      <c r="T8" s="150">
        <f>IFERROR(_xlfn.XLOOKUP(R8,Rounds!Q$2:Q$9,Rounds!S$2:S$9), _xlfn.XLOOKUP(R8,Rounds!T$2:T$9,Rounds!R$2:R$9))</f>
        <v>2</v>
      </c>
      <c r="U8" s="151" t="str">
        <f>IFERROR(_xlfn.XLOOKUP(R8,Rounds!Q$2:Q$9,Rounds!T$2:T$9), _xlfn.XLOOKUP(R8,Rounds!T$2:T$9,Rounds!Q$2:Q$9))</f>
        <v>Mexico</v>
      </c>
      <c r="V8" s="152" t="s">
        <v>2395</v>
      </c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str">
        <f>IFERROR(_xlfn.XLOOKUP(V8,Rounds!U$2:U$5,Rounds!X$2:X$5), _xlfn.XLOOKUP(V8,Rounds!X$2:X$5,Rounds!U$2:U$5))</f>
        <v>England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  <row r="18" spans="14:14" x14ac:dyDescent="0.2">
      <c r="N18" t="s">
        <v>3715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topLeftCell="F1" zoomScaleNormal="100" workbookViewId="0">
      <selection activeCell="T19" sqref="T19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>
        <f>IF('2026 World Cup'!$BM10="",NA(),'2026 World Cup'!$BM10)</f>
        <v>1</v>
      </c>
      <c r="O2" s="81">
        <f>IF('2026 World Cup'!$BM11="",NA(),'2026 World Cup'!$BM11)</f>
        <v>2</v>
      </c>
      <c r="P2" s="134" t="str">
        <f>'2026 World Cup'!BL11</f>
        <v>Paraguay</v>
      </c>
      <c r="Q2" s="132" t="str">
        <f>'2026 World Cup'!BS12</f>
        <v>Paraguay</v>
      </c>
      <c r="R2" s="81">
        <f>IF('2026 World Cup'!$BT12="",NA(),'2026 World Cup'!$BT12)</f>
        <v>0</v>
      </c>
      <c r="S2" s="81">
        <f>IF('2026 World Cup'!$BT13="",NA(),'2026 World Cup'!$BT13)</f>
        <v>1</v>
      </c>
      <c r="T2" s="134" t="str">
        <f>'2026 World Cup'!BS13</f>
        <v>France</v>
      </c>
      <c r="U2" s="132" t="str">
        <f>'2026 World Cup'!BZ16</f>
        <v>France</v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>Morocco</v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>
        <f>IF('2026 World Cup'!$BM14="",NA(),'2026 World Cup'!$BM14)</f>
        <v>3</v>
      </c>
      <c r="O3" s="81">
        <f>IF('2026 World Cup'!$BM15="",NA(),'2026 World Cup'!$BM15)</f>
        <v>0</v>
      </c>
      <c r="P3" s="134" t="str">
        <f>'2026 World Cup'!BL15</f>
        <v>Sweden</v>
      </c>
      <c r="Q3" s="132" t="str">
        <f>'2026 World Cup'!BS20</f>
        <v>Canada</v>
      </c>
      <c r="R3" s="81">
        <f>IF('2026 World Cup'!$BT20="",NA(),'2026 World Cup'!$BT20)</f>
        <v>0</v>
      </c>
      <c r="S3" s="81">
        <f>IF('2026 World Cup'!$BT21="",NA(),'2026 World Cup'!$BT21)</f>
        <v>3</v>
      </c>
      <c r="T3" s="134" t="str">
        <f>'2026 World Cup'!BS21</f>
        <v>Morocco</v>
      </c>
      <c r="U3" s="132" t="str">
        <f>'2026 World Cup'!BZ32</f>
        <v>Spain</v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>Belgium</v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>
        <f>IF('2026 World Cup'!$BM18="",NA(),'2026 World Cup'!$BM18)</f>
        <v>0</v>
      </c>
      <c r="O4" s="81">
        <f>IF('2026 World Cup'!$BM19="",NA(),'2026 World Cup'!$BM19)</f>
        <v>1</v>
      </c>
      <c r="P4" s="134" t="str">
        <f>'2026 World Cup'!BL19</f>
        <v>Canada</v>
      </c>
      <c r="Q4" s="132" t="str">
        <f>'2026 World Cup'!BS28</f>
        <v>Portugal</v>
      </c>
      <c r="R4" s="81">
        <f>IF('2026 World Cup'!$BT28="",NA(),'2026 World Cup'!$BT28)</f>
        <v>0</v>
      </c>
      <c r="S4" s="81">
        <f>IF('2026 World Cup'!$BT29="",NA(),'2026 World Cup'!$BT29)</f>
        <v>1</v>
      </c>
      <c r="T4" s="134" t="str">
        <f>'2026 World Cup'!BS29</f>
        <v>Spain</v>
      </c>
      <c r="U4" s="132" t="str">
        <f>'2026 World Cup'!BZ48</f>
        <v>Norway</v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>England</v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>
        <f>IF('2026 World Cup'!$BM22="",NA(),'2026 World Cup'!$BM22)</f>
        <v>1</v>
      </c>
      <c r="O5" s="81">
        <f>IF('2026 World Cup'!$BM23="",NA(),'2026 World Cup'!$BM23)</f>
        <v>2</v>
      </c>
      <c r="P5" s="134" t="str">
        <f>'2026 World Cup'!BL23</f>
        <v>Morocco</v>
      </c>
      <c r="Q5" s="132" t="str">
        <f>'2026 World Cup'!BS36</f>
        <v>United States</v>
      </c>
      <c r="R5" s="81">
        <f>IF('2026 World Cup'!$BT36="",NA(),'2026 World Cup'!$BT36)</f>
        <v>1</v>
      </c>
      <c r="S5" s="81">
        <f>IF('2026 World Cup'!$BT37="",NA(),'2026 World Cup'!$BT37)</f>
        <v>4</v>
      </c>
      <c r="T5" s="134" t="str">
        <f>'2026 World Cup'!BS37</f>
        <v>Belgium</v>
      </c>
      <c r="U5" s="135" t="str">
        <f>'2026 World Cup'!BZ64</f>
        <v>Argentina</v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>Switzerland</v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>
        <f>IF('2026 World Cup'!$BM26="",NA(),'2026 World Cup'!$BM26)</f>
        <v>2</v>
      </c>
      <c r="O6" s="81">
        <f>IF('2026 World Cup'!$BM27="",NA(),'2026 World Cup'!$BM27)</f>
        <v>1</v>
      </c>
      <c r="P6" s="134" t="str">
        <f>'2026 World Cup'!BL27</f>
        <v>Croatia</v>
      </c>
      <c r="Q6" s="132" t="str">
        <f>'2026 World Cup'!BS44</f>
        <v>Brazil</v>
      </c>
      <c r="R6" s="81">
        <f>IF('2026 World Cup'!$BT44="",NA(),'2026 World Cup'!$BT44)</f>
        <v>1</v>
      </c>
      <c r="S6" s="81">
        <f>IF('2026 World Cup'!$BT45="",NA(),'2026 World Cup'!$BT45)</f>
        <v>2</v>
      </c>
      <c r="T6" s="134" t="str">
        <f>'2026 World Cup'!BS45</f>
        <v>Norway</v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>
        <f>IF('2026 World Cup'!$BM30="",NA(),'2026 World Cup'!$BM30)</f>
        <v>3</v>
      </c>
      <c r="O7" s="81">
        <f>IF('2026 World Cup'!$BM31="",NA(),'2026 World Cup'!$BM31)</f>
        <v>0</v>
      </c>
      <c r="P7" s="134" t="str">
        <f>'2026 World Cup'!BL31</f>
        <v>Austria</v>
      </c>
      <c r="Q7" s="132" t="str">
        <f>'2026 World Cup'!BS52</f>
        <v>Mexico</v>
      </c>
      <c r="R7" s="81">
        <f>IF('2026 World Cup'!$BT52="",NA(),'2026 World Cup'!$BT52)</f>
        <v>2</v>
      </c>
      <c r="S7" s="81">
        <f>IF('2026 World Cup'!$BT53="",NA(),'2026 World Cup'!$BT53)</f>
        <v>3</v>
      </c>
      <c r="T7" s="134" t="str">
        <f>'2026 World Cup'!BS53</f>
        <v>England</v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>
        <f>IF('2026 World Cup'!$BM34="",NA(),'2026 World Cup'!$BM34)</f>
        <v>2</v>
      </c>
      <c r="O8" s="81">
        <f>IF('2026 World Cup'!$BM35="",NA(),'2026 World Cup'!$BM35)</f>
        <v>0</v>
      </c>
      <c r="P8" s="134" t="str">
        <f>'2026 World Cup'!BL35</f>
        <v>Bosnia and Herzegovina</v>
      </c>
      <c r="Q8" s="132" t="str">
        <f>'2026 World Cup'!BS60</f>
        <v>Argentina</v>
      </c>
      <c r="R8" s="81">
        <f>IF('2026 World Cup'!$BT60="",NA(),'2026 World Cup'!$BT60)</f>
        <v>3</v>
      </c>
      <c r="S8" s="81">
        <f>IF('2026 World Cup'!$BT61="",NA(),'2026 World Cup'!$BT61)</f>
        <v>2</v>
      </c>
      <c r="T8" s="134" t="str">
        <f>'2026 World Cup'!BS61</f>
        <v>Egypt</v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>
        <f>IF('2026 World Cup'!$BM38="",NA(),'2026 World Cup'!$BM38)</f>
        <v>3</v>
      </c>
      <c r="O9" s="81">
        <f>IF('2026 World Cup'!$BM39="",NA(),'2026 World Cup'!$BM39)</f>
        <v>2</v>
      </c>
      <c r="P9" s="134" t="str">
        <f>'2026 World Cup'!BL39</f>
        <v>Senegal</v>
      </c>
      <c r="Q9" s="135" t="str">
        <f>'2026 World Cup'!BS68</f>
        <v>Switzerland</v>
      </c>
      <c r="R9" s="153">
        <f>IF('2026 World Cup'!$BT68="",NA(),'2026 World Cup'!$BT68)</f>
        <v>1</v>
      </c>
      <c r="S9" s="153">
        <f>IF('2026 World Cup'!$BT69="",NA(),'2026 World Cup'!$BT69)</f>
        <v>0</v>
      </c>
      <c r="T9" s="136" t="str">
        <f>'2026 World Cup'!BS69</f>
        <v>Colombia</v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>
        <f>IF('2026 World Cup'!$BM42="",NA(),'2026 World Cup'!$BM42)</f>
        <v>2</v>
      </c>
      <c r="O10" s="81">
        <f>IF('2026 World Cup'!$BM43="",NA(),'2026 World Cup'!$BM43)</f>
        <v>1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>
        <f>IF('2026 World Cup'!$BM46="",NA(),'2026 World Cup'!$BM46)</f>
        <v>1</v>
      </c>
      <c r="O11" s="81">
        <f>IF('2026 World Cup'!$BM47="",NA(),'2026 World Cup'!$BM47)</f>
        <v>2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>
        <f>IF('2026 World Cup'!$BM50="",NA(),'2026 World Cup'!$BM50)</f>
        <v>2</v>
      </c>
      <c r="O12" s="81">
        <f>IF('2026 World Cup'!$BM51="",NA(),'2026 World Cup'!$BM51)</f>
        <v>0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>
        <f>IF('2026 World Cup'!$BM54="",NA(),'2026 World Cup'!$BM54)</f>
        <v>2</v>
      </c>
      <c r="O13" s="81">
        <f>IF('2026 World Cup'!$BM55="",NA(),'2026 World Cup'!$BM55)</f>
        <v>1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>
        <f>IF('2026 World Cup'!$BM58="",NA(),'2026 World Cup'!$BM58)</f>
        <v>3</v>
      </c>
      <c r="O14" s="81">
        <f>IF('2026 World Cup'!$BM59="",NA(),'2026 World Cup'!$BM59)</f>
        <v>2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>
        <f>IF('2026 World Cup'!$BM62="",NA(),'2026 World Cup'!$BM62)</f>
        <v>1</v>
      </c>
      <c r="O15" s="81">
        <f>IF('2026 World Cup'!$BM63="",NA(),'2026 World Cup'!$BM63)</f>
        <v>2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>
        <f>IF('2026 World Cup'!$BM66="",NA(),'2026 World Cup'!$BM66)</f>
        <v>2</v>
      </c>
      <c r="O16" s="81">
        <f>IF('2026 World Cup'!$BM67="",NA(),'2026 World Cup'!$BM67)</f>
        <v>0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>
        <f>IF('2026 World Cup'!$BM70="",NA(),'2026 World Cup'!$BM70)</f>
        <v>1</v>
      </c>
      <c r="O17" s="153">
        <f>IF('2026 World Cup'!$BM71="",NA(),'2026 World Cup'!$BM71)</f>
        <v>0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L11" zoomScale="112" zoomScaleNormal="100" workbookViewId="0">
      <selection activeCell="BZ69" sqref="BZ6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Germany</v>
      </c>
      <c r="BM10" s="61">
        <v>1</v>
      </c>
      <c r="BN10" s="63"/>
      <c r="BO10" s="25"/>
      <c r="BP10" s="112">
        <f>IF(OR(BM10="",BM11="",AND(BN10="",BN11&lt;&gt;""),AND(BN11="",BN10&lt;&gt;""),AND(BO10="",BO11&lt;&gt;""),AND(BO11="",BO10&lt;&gt;"")),"",BM10*1000+BN10*10+BO10)</f>
        <v>1000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Paraguay</v>
      </c>
      <c r="BM11" s="62">
        <v>2</v>
      </c>
      <c r="BN11" s="64"/>
      <c r="BO11" s="27"/>
      <c r="BP11" s="113">
        <f>IF(BP10="","",BM11*1000+BN11*10+BO11)</f>
        <v>2000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73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74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>France</v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>Morocco</v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73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Netherlands</v>
      </c>
      <c r="BM22" s="61">
        <v>1</v>
      </c>
      <c r="BN22" s="63"/>
      <c r="BO22" s="25"/>
      <c r="BP22" s="116">
        <f>IF(OR(BM22="",BM23="",AND(BN22="",BN23&lt;&gt;""),AND(BN23="",BN22&lt;&gt;""),AND(BO22="",BO23&lt;&gt;""),AND(BO23="",BO22&lt;&gt;"")),"",BM22*1000+BN22*10+BO22)</f>
        <v>1000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Morocco</v>
      </c>
      <c r="BM23" s="62">
        <v>2</v>
      </c>
      <c r="BN23" s="64"/>
      <c r="BO23" s="27"/>
      <c r="BP23" s="112">
        <f>IF(BP22="","",BM23*1000+BN23*10+BO23)</f>
        <v>2000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74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73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>Spain</v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>Belgium</v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73">
        <v>82</v>
      </c>
      <c r="BL38" s="24" t="str">
        <f>AS44</f>
        <v>Belgium</v>
      </c>
      <c r="BM38" s="61">
        <v>3</v>
      </c>
      <c r="BN38" s="63"/>
      <c r="BO38" s="25"/>
      <c r="BP38" s="116">
        <f>IF(OR(BM38="",BM39="",AND(BN38="",BN39&lt;&gt;""),AND(BN39="",BN38&lt;&gt;""),AND(BO38="",BO39&lt;&gt;""),AND(BO39="",BO38&lt;&gt;"")),"",BM38*1000+BN38*10+BO38)</f>
        <v>3000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74"/>
      <c r="BL39" s="26" t="str">
        <f>IF(group_round_completed,VLOOKUP('3rd places'!H3,AK80:AS91,9,FALSE),"3rd Group A/E/H/I/J")</f>
        <v>Senegal</v>
      </c>
      <c r="BM39" s="62">
        <v>2</v>
      </c>
      <c r="BN39" s="64"/>
      <c r="BO39" s="27"/>
      <c r="BP39" s="112">
        <f>IF(BP38="","",BM39*1000+BN39*10+BO39)</f>
        <v>2000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73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73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>Norway</v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>England</v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4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73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74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Argentina</v>
      </c>
      <c r="BM58" s="61">
        <v>3</v>
      </c>
      <c r="BN58" s="63"/>
      <c r="BO58" s="25"/>
      <c r="BP58" s="112">
        <f>IF(OR(BM58="",BM59="",AND(BN58="",BN59&lt;&gt;""),AND(BN59="",BN58&lt;&gt;""),AND(BO58="",BO59&lt;&gt;""),AND(BO59="",BO58&lt;&gt;"")),"",BM58*1000+BN58*10+BO58)</f>
        <v>3000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Cape Verde</v>
      </c>
      <c r="BM59" s="62">
        <v>2</v>
      </c>
      <c r="BN59" s="64"/>
      <c r="BO59" s="27"/>
      <c r="BP59" s="113">
        <f>IF(BP58="","",BM59*1000+BN59*10+BO59)</f>
        <v>2000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Australia</v>
      </c>
      <c r="BM62" s="61">
        <v>1</v>
      </c>
      <c r="BN62" s="63"/>
      <c r="BO62" s="25"/>
      <c r="BP62" s="116">
        <f>IF(OR(BM62="",BM63="",AND(BN62="",BN63&lt;&gt;""),AND(BN63="",BN62&lt;&gt;""),AND(BO62="",BO63&lt;&gt;""),AND(BO63="",BO62&lt;&gt;"")),"",BM62*1000+BN62*10+BO62)</f>
        <v>1000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74"/>
      <c r="BL63" s="26" t="str">
        <f>AS45</f>
        <v>Egypt</v>
      </c>
      <c r="BM63" s="62">
        <v>2</v>
      </c>
      <c r="BN63" s="64"/>
      <c r="BO63" s="27"/>
      <c r="BP63" s="112">
        <f>IF(BP62="","",BM63*1000+BN63*10+BO63)</f>
        <v>2000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>Argentina</v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>Switzerland</v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73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74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>Switzerland</v>
      </c>
      <c r="BT68" s="61">
        <v>1</v>
      </c>
      <c r="BU68" s="63"/>
      <c r="BV68" s="25"/>
      <c r="BW68" s="116">
        <f>IF(OR(BT68="",BT69="",AND(BU68="",BU69&lt;&gt;""),AND(BU69="",BU68&lt;&gt;""),AND(BV68="",BV69&lt;&gt;""),AND(BV69="",BV68&lt;&gt;"")),"",BT68*1000+BU68*10+BV68)</f>
        <v>1000</v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>Colombia</v>
      </c>
      <c r="BT69" s="62">
        <v>0</v>
      </c>
      <c r="BU69" s="64"/>
      <c r="BV69" s="27"/>
      <c r="BW69" s="112">
        <f>IF(BW68="","",BT69*1000+BU69*10+BV69)</f>
        <v>0</v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2026-07-09T03:45:48Z</dcterms:modified>
  <cp:category>Sports</cp:category>
  <cp:contentStatus/>
</cp:coreProperties>
</file>