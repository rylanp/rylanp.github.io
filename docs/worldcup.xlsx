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6B7DA1BF-E6BC-294B-A658-997E9685B5DD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6" l="1"/>
  <c r="N12" i="6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1" i="6"/>
  <c r="O10" i="6"/>
  <c r="O9" i="6"/>
  <c r="O8" i="6"/>
  <c r="O7" i="6"/>
  <c r="O6" i="6"/>
  <c r="O5" i="6"/>
  <c r="O4" i="6"/>
  <c r="O3" i="6"/>
  <c r="N15" i="6"/>
  <c r="N14" i="6"/>
  <c r="N13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M8" i="5" s="1"/>
  <c r="E2" i="6" a="1"/>
  <c r="E2" i="6" s="1"/>
  <c r="I6" i="5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M5" i="5" l="1"/>
  <c r="K6" i="5"/>
  <c r="L6" i="5"/>
  <c r="M4" i="5"/>
  <c r="L5" i="5"/>
  <c r="M6" i="5"/>
  <c r="K7" i="5"/>
  <c r="L7" i="5"/>
  <c r="K3" i="5"/>
  <c r="L3" i="5"/>
  <c r="M3" i="5"/>
  <c r="M7" i="5"/>
  <c r="L4" i="5"/>
  <c r="K5" i="5"/>
  <c r="K4" i="5"/>
  <c r="K8" i="5"/>
  <c r="L8" i="5"/>
  <c r="G3" i="5"/>
  <c r="G7" i="5"/>
  <c r="H3" i="5"/>
  <c r="H7" i="5"/>
  <c r="I3" i="5"/>
  <c r="I7" i="5"/>
  <c r="G8" i="5"/>
  <c r="G4" i="5"/>
  <c r="H4" i="5"/>
  <c r="H8" i="5"/>
  <c r="I8" i="5"/>
  <c r="G5" i="5"/>
  <c r="H5" i="5"/>
  <c r="I5" i="5"/>
  <c r="G6" i="5"/>
  <c r="I4" i="5"/>
  <c r="H6" i="5"/>
  <c r="C7" i="5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T74" i="3" s="1"/>
  <c r="S28" i="3"/>
  <c r="T28" i="3" s="1"/>
  <c r="S51" i="3"/>
  <c r="T51" i="3" s="1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T61" i="3" s="1"/>
  <c r="S16" i="3"/>
  <c r="T16" i="3" s="1"/>
  <c r="S39" i="3"/>
  <c r="T39" i="3" s="1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S54" i="3"/>
  <c r="S77" i="3"/>
  <c r="S50" i="3"/>
  <c r="S76" i="3"/>
  <c r="S47" i="3"/>
  <c r="S67" i="3"/>
  <c r="S72" i="3"/>
  <c r="S70" i="3"/>
  <c r="S42" i="3"/>
  <c r="S64" i="3"/>
  <c r="S40" i="3"/>
  <c r="S62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34" i="3"/>
  <c r="AR10" i="3" l="1"/>
  <c r="AR71" i="3"/>
  <c r="AR33" i="3"/>
  <c r="AR9" i="3"/>
  <c r="AR35" i="3"/>
  <c r="AD35" i="3" s="1"/>
  <c r="AR11" i="3"/>
  <c r="AD9" i="3" s="1"/>
  <c r="AD58" i="3"/>
  <c r="AR29" i="3"/>
  <c r="AR27" i="3"/>
  <c r="AR28" i="3"/>
  <c r="AD29" i="3" s="1"/>
  <c r="AR75" i="3"/>
  <c r="AR21" i="3"/>
  <c r="AR76" i="3"/>
  <c r="AR69" i="3"/>
  <c r="AR70" i="3"/>
  <c r="AR22" i="3"/>
  <c r="AR77" i="3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4" i="3" l="1"/>
  <c r="AD32" i="3"/>
  <c r="AD10" i="3"/>
  <c r="AD11" i="3"/>
  <c r="AD8" i="3"/>
  <c r="O9" i="3" s="1"/>
  <c r="AD27" i="3"/>
  <c r="AD26" i="3"/>
  <c r="AD75" i="3"/>
  <c r="AD28" i="3"/>
  <c r="L58" i="3"/>
  <c r="AD22" i="3"/>
  <c r="AD41" i="3"/>
  <c r="AD69" i="3"/>
  <c r="AD71" i="3"/>
  <c r="L59" i="3"/>
  <c r="O60" i="3"/>
  <c r="N58" i="3"/>
  <c r="AD70" i="3"/>
  <c r="AD68" i="3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36" i="3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J35" i="3" l="1"/>
  <c r="AE84" i="3" s="1"/>
  <c r="AQ84" i="3" s="1"/>
  <c r="M10" i="3"/>
  <c r="J12" i="3"/>
  <c r="L11" i="3"/>
  <c r="J10" i="3"/>
  <c r="AS9" i="3" s="1"/>
  <c r="BL18" i="3" s="1"/>
  <c r="M4" i="6" s="1"/>
  <c r="M12" i="3"/>
  <c r="N12" i="3"/>
  <c r="J9" i="3"/>
  <c r="AS8" i="3" s="1"/>
  <c r="BL50" i="3" s="1"/>
  <c r="M12" i="6" s="1"/>
  <c r="M11" i="3"/>
  <c r="L12" i="3"/>
  <c r="P12" i="3" s="1"/>
  <c r="N11" i="3"/>
  <c r="M9" i="3"/>
  <c r="K9" i="3" s="1"/>
  <c r="N10" i="3"/>
  <c r="L9" i="3"/>
  <c r="L10" i="3"/>
  <c r="N9" i="3"/>
  <c r="O11" i="3"/>
  <c r="O10" i="3"/>
  <c r="O12" i="3"/>
  <c r="J11" i="3"/>
  <c r="AE80" i="3" s="1"/>
  <c r="AQ80" i="3" s="1"/>
  <c r="L28" i="3"/>
  <c r="O29" i="3"/>
  <c r="N29" i="3"/>
  <c r="N27" i="3"/>
  <c r="L30" i="3"/>
  <c r="O30" i="3"/>
  <c r="J27" i="3"/>
  <c r="AS26" i="3" s="1"/>
  <c r="BL34" i="3" s="1"/>
  <c r="M8" i="6" s="1"/>
  <c r="L29" i="3"/>
  <c r="N30" i="3"/>
  <c r="M27" i="3"/>
  <c r="N28" i="3"/>
  <c r="M29" i="3"/>
  <c r="O27" i="3"/>
  <c r="M28" i="3"/>
  <c r="J28" i="3"/>
  <c r="AS27" i="3" s="1"/>
  <c r="BL62" i="3" s="1"/>
  <c r="M15" i="6" s="1"/>
  <c r="M30" i="3"/>
  <c r="J29" i="3"/>
  <c r="AE83" i="3" s="1"/>
  <c r="AQ83" i="3" s="1"/>
  <c r="L27" i="3"/>
  <c r="O28" i="3"/>
  <c r="J30" i="3"/>
  <c r="N69" i="3"/>
  <c r="P59" i="3"/>
  <c r="S90" i="3"/>
  <c r="T90" i="3" s="1" a="1"/>
  <c r="T90" i="3" s="1"/>
  <c r="BS36" i="3"/>
  <c r="K58" i="3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P10" i="3"/>
  <c r="AT80" i="3" l="1"/>
  <c r="BS61" i="3"/>
  <c r="T8" i="6" s="1"/>
  <c r="BS20" i="3"/>
  <c r="K10" i="3"/>
  <c r="S88" i="3"/>
  <c r="T88" i="3" s="1" a="1"/>
  <c r="T88" i="3" s="1"/>
  <c r="P30" i="3"/>
  <c r="K12" i="3"/>
  <c r="P28" i="3"/>
  <c r="K11" i="3"/>
  <c r="AL80" i="3"/>
  <c r="AI80" i="3"/>
  <c r="AG80" i="3"/>
  <c r="AH80" i="3"/>
  <c r="AF80" i="3"/>
  <c r="K28" i="3"/>
  <c r="P9" i="3"/>
  <c r="P11" i="3"/>
  <c r="AI83" i="3"/>
  <c r="K27" i="3"/>
  <c r="AJ83" i="3"/>
  <c r="AH83" i="3"/>
  <c r="AN80" i="3"/>
  <c r="AG83" i="3"/>
  <c r="AF83" i="3"/>
  <c r="AJ80" i="3"/>
  <c r="K30" i="3"/>
  <c r="AL83" i="3"/>
  <c r="AT83" i="3"/>
  <c r="AN83" i="3"/>
  <c r="P29" i="3"/>
  <c r="P27" i="3"/>
  <c r="K29" i="3"/>
  <c r="Q5" i="6"/>
  <c r="S98" i="3"/>
  <c r="T98" i="3" s="1" a="1"/>
  <c r="T98" i="3" s="1"/>
  <c r="BZ33" i="3"/>
  <c r="Q3" i="6"/>
  <c r="T6" i="6"/>
  <c r="M6" i="6"/>
  <c r="S86" i="3"/>
  <c r="T86" i="3" s="1" a="1"/>
  <c r="T86" i="3" s="1"/>
  <c r="BS28" i="3"/>
  <c r="M5" i="6"/>
  <c r="S89" i="3"/>
  <c r="T89" i="3" s="1" a="1"/>
  <c r="T89" i="3" s="1"/>
  <c r="BS21" i="3"/>
  <c r="S96" i="3" s="1"/>
  <c r="T96" i="3" s="1" a="1"/>
  <c r="T96" i="3" s="1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P85" i="3"/>
  <c r="AD89" i="3" l="1"/>
  <c r="AS89" i="3" s="1"/>
  <c r="AD88" i="3"/>
  <c r="AS88" i="3" s="1"/>
  <c r="AD84" i="3"/>
  <c r="AS84" i="3" s="1"/>
  <c r="AD86" i="3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P88" i="3" l="1"/>
  <c r="K83" i="3"/>
  <c r="P92" i="3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BL51" i="3" s="1"/>
  <c r="P12" i="6" s="1"/>
  <c r="K3" i="4"/>
  <c r="BL55" i="3" s="1"/>
  <c r="P13" i="6" s="1"/>
  <c r="B3" i="4"/>
  <c r="G3" i="4"/>
  <c r="BL11" i="3" s="1"/>
  <c r="P2" i="6" s="1"/>
  <c r="E3" i="4"/>
  <c r="BL67" i="3" s="1"/>
  <c r="J3" i="4"/>
  <c r="BL71" i="3" s="1"/>
  <c r="P17" i="6" s="1"/>
  <c r="I3" i="4"/>
  <c r="BL15" i="3" s="1"/>
  <c r="P3" i="6" s="1"/>
  <c r="H3" i="4"/>
  <c r="BL39" i="3" s="1"/>
  <c r="P9" i="6" s="1"/>
  <c r="K89" i="3"/>
  <c r="BS53" i="3"/>
  <c r="T7" i="6" s="1"/>
  <c r="BS52" i="3"/>
  <c r="BS69" i="3"/>
  <c r="T9" i="6" s="1"/>
  <c r="BS68" i="3"/>
  <c r="S84" i="3" l="1"/>
  <c r="T84" i="3" s="1" a="1"/>
  <c r="T84" i="3" s="1"/>
  <c r="BS12" i="3"/>
  <c r="Q2" i="6" s="1"/>
  <c r="Q9" i="6"/>
  <c r="BZ65" i="3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N48" i="3" s="1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<sst xmlns="http://schemas.openxmlformats.org/spreadsheetml/2006/main" count="9921" uniqueCount="3716">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</sst>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18"/>
  <sheetViews>
    <sheetView tabSelected="1" topLeftCell="F1" workbookViewId="0">
      <selection activeCell="AC18" sqref="AC18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>
        <f>IFERROR(_xlfn.XLOOKUP(F3,Rounds!E$2:E$25,Rounds!F$2:F$25), _xlfn.XLOOKUP(F3,Rounds!H$2:H$25,Rounds!G$2:G$25))</f>
        <v>2</v>
      </c>
      <c r="H3" s="142">
        <f>IFERROR(_xlfn.XLOOKUP(F3,Rounds!E$2:E$25,Rounds!G$2:G$25), _xlfn.XLOOKUP(F3,Rounds!H$2:H$25,Rounds!F$2:F$25))</f>
        <v>0</v>
      </c>
      <c r="I3" s="140" t="str">
        <f>IFERROR(_xlfn.XLOOKUP(F3,Rounds!E$2:E$25,Rounds!H$2:H$25), _xlfn.XLOOKUP(F3,Rounds!H$2:H$25,Rounds!E$2:E$25))</f>
        <v>Australia</v>
      </c>
      <c r="J3" t="s">
        <v>2201</v>
      </c>
      <c r="K3" s="142">
        <f>IFERROR(_xlfn.XLOOKUP(J3,Rounds!I$2:I$25,Rounds!J$2:J$25), _xlfn.XLOOKUP(J3,Rounds!L$2:L$25,Rounds!K$2:K$25))</f>
        <v>2</v>
      </c>
      <c r="L3" s="142">
        <f>IFERROR(_xlfn.XLOOKUP(J3,Rounds!I$2:I$25,Rounds!K$2:K$25), _xlfn.XLOOKUP(J3,Rounds!L$2:L$25,Rounds!J$2:J$25))</f>
        <v>0</v>
      </c>
      <c r="M3" s="140" t="str">
        <f>IFERROR(_xlfn.XLOOKUP(J3,Rounds!I$2:I$25,Rounds!L$2:L$25), _xlfn.XLOOKUP(J3,Rounds!L$2:L$25,Rounds!I$2:I$25))</f>
        <v>Curaçao</v>
      </c>
      <c r="N3" t="s">
        <v>1739</v>
      </c>
      <c r="O3" s="142">
        <f>IFERROR(_xlfn.XLOOKUP(N3,Rounds!M$2:M$17,Rounds!N$2:N$17), _xlfn.XLOOKUP(N3,Rounds!P$2:P$17,Rounds!O$2:O$17))</f>
        <v>2</v>
      </c>
      <c r="P3" s="142">
        <f>IFERROR(_xlfn.XLOOKUP(N3,Rounds!M$2:M$17,Rounds!O$2:O$17), _xlfn.XLOOKUP(N3,Rounds!P$2:P$17,Rounds!N$2:N$17))</f>
        <v>1</v>
      </c>
      <c r="Q3" s="140" t="str">
        <f>IFERROR(_xlfn.XLOOKUP(N3,Rounds!M$2:M$17,Rounds!P$2:P$17), _xlfn.XLOOKUP(N3,Rounds!P$2:P$17,Rounds!M$2:M$17))</f>
        <v>Japan</v>
      </c>
      <c r="R3" t="s">
        <v>1323</v>
      </c>
      <c r="S3" s="142">
        <f>IFERROR(_xlfn.XLOOKUP(R3,Rounds!Q$2:Q$9,Rounds!R$2:R$9), _xlfn.XLOOKUP(R3,Rounds!T$2:T$9,Rounds!S$2:S$9))</f>
        <v>2</v>
      </c>
      <c r="T3" s="142">
        <f>IFERROR(_xlfn.XLOOKUP(R3,Rounds!Q$2:Q$9,Rounds!S$2:S$9), _xlfn.XLOOKUP(R3,Rounds!T$2:T$9,Rounds!R$2:R$9))</f>
        <v>3</v>
      </c>
      <c r="U3" s="140" t="str">
        <f>IFERROR(_xlfn.XLOOKUP(R3,Rounds!Q$2:Q$9,Rounds!T$2:T$9), _xlfn.XLOOKUP(R3,Rounds!T$2:T$9,Rounds!Q$2:Q$9))</f>
        <v>England</v>
      </c>
      <c r="V3" t="s">
        <v>1633</v>
      </c>
      <c r="W3" s="142">
        <f>IFERROR(_xlfn.XLOOKUP(V3,Rounds!U$2:U$5,Rounds!V$2:V$5), _xlfn.XLOOKUP(V3,Rounds!X$2:X$5,Rounds!W$2:W$5))</f>
        <v>1</v>
      </c>
      <c r="X3" s="142">
        <f>IFERROR(_xlfn.XLOOKUP(V3,Rounds!U$2:U$5,Rounds!W$2:W$5), _xlfn.XLOOKUP(V3,Rounds!X$2:X$5,Rounds!V$2:V$5))</f>
        <v>2</v>
      </c>
      <c r="Y3" s="140" t="str">
        <f>IFERROR(_xlfn.XLOOKUP(V3,Rounds!U$2:U$5,Rounds!X$2:X$5), _xlfn.XLOOKUP(V3,Rounds!X$2:X$5,Rounds!U$2:U$5))</f>
        <v>Spain</v>
      </c>
      <c r="Z3" t="s">
        <v>1384</v>
      </c>
      <c r="AA3" s="142">
        <f>IFERROR(_xlfn.XLOOKUP(Z3,Rounds!Y$2:Y$3,Rounds!Z$2:Z$3), _xlfn.XLOOKUP(Z3,Rounds!AB$2:AB$3,Rounds!AA$2:AA$3))</f>
        <v>0</v>
      </c>
      <c r="AB3" s="142">
        <f>IFERROR(_xlfn.XLOOKUP(Z3,Rounds!Y$2:Y$3,Rounds!AA$2:AA$3), _xlfn.XLOOKUP(Z3,Rounds!AB$2:AB$3,Rounds!Z$2:Z$3))</f>
        <v>2</v>
      </c>
      <c r="AC3" s="140" t="str">
        <f>IFERROR(_xlfn.XLOOKUP(Z3,Rounds!Y$2:Y$3,Rounds!AB$2:AB$3), _xlfn.XLOOKUP(Z3,Rounds!AB$2:AB$3,Rounds!Y$2:Y$3))</f>
        <v>Spain</v>
      </c>
      <c r="AD3" t="s">
        <v>1264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str" cm="1">
        <f t="array" ref="AG3">IFERROR(_xlfn.XLOOKUP(AD3,Rounds!AC$2:AC$2,Rounds!AF$2:AF$2), _xlfn.XLOOKUP(AD3,Rounds!AF$2:AF$2,Rounds!AC$2:AC$2))</f>
        <v>Spain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>
        <f>IFERROR(_xlfn.XLOOKUP(F4,Rounds!E$2:E$25,Rounds!F$2:F$25), _xlfn.XLOOKUP(F4,Rounds!H$2:H$25,Rounds!G$2:G$25))</f>
        <v>3</v>
      </c>
      <c r="H4" s="146">
        <f>IFERROR(_xlfn.XLOOKUP(F4,Rounds!E$2:E$25,Rounds!G$2:G$25), _xlfn.XLOOKUP(F4,Rounds!H$2:H$25,Rounds!F$2:F$25))</f>
        <v>1</v>
      </c>
      <c r="I4" s="147" t="str">
        <f>IFERROR(_xlfn.XLOOKUP(F4,Rounds!E$2:E$25,Rounds!H$2:H$25), _xlfn.XLOOKUP(F4,Rounds!H$2:H$25,Rounds!E$2:E$25))</f>
        <v>New Zealand</v>
      </c>
      <c r="J4" s="148" t="s">
        <v>1677</v>
      </c>
      <c r="K4" s="146">
        <f>IFERROR(_xlfn.XLOOKUP(J4,Rounds!I$2:I$25,Rounds!J$2:J$25), _xlfn.XLOOKUP(J4,Rounds!L$2:L$25,Rounds!K$2:K$25))</f>
        <v>4</v>
      </c>
      <c r="L4" s="146">
        <f>IFERROR(_xlfn.XLOOKUP(J4,Rounds!I$2:I$25,Rounds!K$2:K$25), _xlfn.XLOOKUP(J4,Rounds!L$2:L$25,Rounds!J$2:J$25))</f>
        <v>2</v>
      </c>
      <c r="M4" s="147" t="str">
        <f>IFERROR(_xlfn.XLOOKUP(J4,Rounds!I$2:I$25,Rounds!L$2:L$25), _xlfn.XLOOKUP(J4,Rounds!L$2:L$25,Rounds!I$2:I$25))</f>
        <v>Haiti</v>
      </c>
      <c r="N4" s="148" t="s">
        <v>1148</v>
      </c>
      <c r="O4" s="146">
        <f>IFERROR(_xlfn.XLOOKUP(N4,Rounds!M$2:M$17,Rounds!N$2:N$17), _xlfn.XLOOKUP(N4,Rounds!P$2:P$17,Rounds!O$2:O$17))</f>
        <v>2</v>
      </c>
      <c r="P4" s="146">
        <f>IFERROR(_xlfn.XLOOKUP(N4,Rounds!M$2:M$17,Rounds!O$2:O$17), _xlfn.XLOOKUP(N4,Rounds!P$2:P$17,Rounds!N$2:N$17))</f>
        <v>1</v>
      </c>
      <c r="Q4" s="147" t="str">
        <f>IFERROR(_xlfn.XLOOKUP(N4,Rounds!M$2:M$17,Rounds!P$2:P$17), _xlfn.XLOOKUP(N4,Rounds!P$2:P$17,Rounds!M$2:M$17))</f>
        <v>DR Congo</v>
      </c>
      <c r="R4" s="148" t="s">
        <v>1323</v>
      </c>
      <c r="S4" s="146">
        <f>IFERROR(_xlfn.XLOOKUP(R4,Rounds!Q$2:Q$9,Rounds!R$2:R$9), _xlfn.XLOOKUP(R4,Rounds!T$2:T$9,Rounds!S$2:S$9))</f>
        <v>2</v>
      </c>
      <c r="T4" s="146">
        <f>IFERROR(_xlfn.XLOOKUP(R4,Rounds!Q$2:Q$9,Rounds!S$2:S$9), _xlfn.XLOOKUP(R4,Rounds!T$2:T$9,Rounds!R$2:R$9))</f>
        <v>3</v>
      </c>
      <c r="U4" s="147" t="str">
        <f>IFERROR(_xlfn.XLOOKUP(R4,Rounds!Q$2:Q$9,Rounds!T$2:T$9), _xlfn.XLOOKUP(R4,Rounds!T$2:T$9,Rounds!Q$2:Q$9))</f>
        <v>England</v>
      </c>
      <c r="V4" s="148" t="s">
        <v>2395</v>
      </c>
      <c r="W4" s="146">
        <f>IFERROR(_xlfn.XLOOKUP(V4,Rounds!U$2:U$5,Rounds!V$2:V$5), _xlfn.XLOOKUP(V4,Rounds!X$2:X$5,Rounds!W$2:W$5))</f>
        <v>1</v>
      </c>
      <c r="X4" s="146">
        <f>IFERROR(_xlfn.XLOOKUP(V4,Rounds!U$2:U$5,Rounds!W$2:W$5), _xlfn.XLOOKUP(V4,Rounds!X$2:X$5,Rounds!V$2:V$5))</f>
        <v>2</v>
      </c>
      <c r="Y4" s="147" t="str">
        <f>IFERROR(_xlfn.XLOOKUP(V4,Rounds!U$2:U$5,Rounds!X$2:X$5), _xlfn.XLOOKUP(V4,Rounds!X$2:X$5,Rounds!U$2:U$5))</f>
        <v>England</v>
      </c>
      <c r="Z4" s="148" t="s">
        <v>1264</v>
      </c>
      <c r="AA4" s="146">
        <f>IFERROR(_xlfn.XLOOKUP(Z4,Rounds!Y$2:Y$3,Rounds!Z$2:Z$3), _xlfn.XLOOKUP(Z4,Rounds!AB$2:AB$3,Rounds!AA$2:AA$3))</f>
        <v>2</v>
      </c>
      <c r="AB4" s="146">
        <f>IFERROR(_xlfn.XLOOKUP(Z4,Rounds!Y$2:Y$3,Rounds!AA$2:AA$3), _xlfn.XLOOKUP(Z4,Rounds!AB$2:AB$3,Rounds!Z$2:Z$3))</f>
        <v>1</v>
      </c>
      <c r="AC4" s="147" t="str">
        <f>IFERROR(_xlfn.XLOOKUP(Z4,Rounds!Y$2:Y$3,Rounds!AB$2:AB$3), _xlfn.XLOOKUP(Z4,Rounds!AB$2:AB$3,Rounds!Y$2:Y$3))</f>
        <v>England</v>
      </c>
      <c r="AD4" s="148" t="s">
        <v>1508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str" cm="1">
        <f t="array" ref="AG4">IFERROR(_xlfn.XLOOKUP(AD4,Rounds!AC$2:AC$2,Rounds!AF$2:AF$2), _xlfn.XLOOKUP(AD4,Rounds!AF$2:AF$2,Rounds!AC$2:AC$2))</f>
        <v>Argentina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>
        <f>IFERROR(_xlfn.XLOOKUP(F5,Rounds!E$2:E$25,Rounds!F$2:F$25), _xlfn.XLOOKUP(F5,Rounds!H$2:H$25,Rounds!G$2:G$25))</f>
        <v>0</v>
      </c>
      <c r="H5" s="82">
        <f>IFERROR(_xlfn.XLOOKUP(F5,Rounds!E$2:E$25,Rounds!G$2:G$25), _xlfn.XLOOKUP(F5,Rounds!H$2:H$25,Rounds!F$2:F$25))</f>
        <v>0</v>
      </c>
      <c r="I5" s="134" t="str">
        <f>IFERROR(_xlfn.XLOOKUP(F5,Rounds!E$2:E$25,Rounds!H$2:H$25), _xlfn.XLOOKUP(F5,Rounds!H$2:H$25,Rounds!E$2:E$25))</f>
        <v>Curaçao</v>
      </c>
      <c r="J5" t="s">
        <v>1323</v>
      </c>
      <c r="K5" s="82">
        <f>IFERROR(_xlfn.XLOOKUP(J5,Rounds!I$2:I$25,Rounds!J$2:J$25), _xlfn.XLOOKUP(J5,Rounds!L$2:L$25,Rounds!K$2:K$25))</f>
        <v>3</v>
      </c>
      <c r="L5" s="82">
        <f>IFERROR(_xlfn.XLOOKUP(J5,Rounds!I$2:I$25,Rounds!K$2:K$25), _xlfn.XLOOKUP(J5,Rounds!L$2:L$25,Rounds!J$2:J$25))</f>
        <v>0</v>
      </c>
      <c r="M5" s="134" t="str">
        <f>IFERROR(_xlfn.XLOOKUP(J5,Rounds!I$2:I$25,Rounds!L$2:L$25), _xlfn.XLOOKUP(J5,Rounds!L$2:L$25,Rounds!I$2:I$25))</f>
        <v>Czech Republic</v>
      </c>
      <c r="N5" t="s">
        <v>1633</v>
      </c>
      <c r="O5" s="82">
        <f>IFERROR(_xlfn.XLOOKUP(N5,Rounds!M$2:M$17,Rounds!N$2:N$17), _xlfn.XLOOKUP(N5,Rounds!P$2:P$17,Rounds!O$2:O$17))</f>
        <v>3</v>
      </c>
      <c r="P5" s="82">
        <f>IFERROR(_xlfn.XLOOKUP(N5,Rounds!M$2:M$17,Rounds!O$2:O$17), _xlfn.XLOOKUP(N5,Rounds!P$2:P$17,Rounds!N$2:N$17))</f>
        <v>2</v>
      </c>
      <c r="Q5" s="134" t="str">
        <f>IFERROR(_xlfn.XLOOKUP(N5,Rounds!M$2:M$17,Rounds!P$2:P$17), _xlfn.XLOOKUP(N5,Rounds!P$2:P$17,Rounds!M$2:M$17))</f>
        <v>Senegal</v>
      </c>
      <c r="R5" t="s">
        <v>1677</v>
      </c>
      <c r="S5" s="82">
        <f>IFERROR(_xlfn.XLOOKUP(R5,Rounds!Q$2:Q$9,Rounds!R$2:R$9), _xlfn.XLOOKUP(R5,Rounds!T$2:T$9,Rounds!S$2:S$9))</f>
        <v>3</v>
      </c>
      <c r="T5" s="82">
        <f>IFERROR(_xlfn.XLOOKUP(R5,Rounds!Q$2:Q$9,Rounds!S$2:S$9), _xlfn.XLOOKUP(R5,Rounds!T$2:T$9,Rounds!R$2:R$9))</f>
        <v>0</v>
      </c>
      <c r="U5" s="134" t="str">
        <f>IFERROR(_xlfn.XLOOKUP(R5,Rounds!Q$2:Q$9,Rounds!T$2:T$9), _xlfn.XLOOKUP(R5,Rounds!T$2:T$9,Rounds!Q$2:Q$9))</f>
        <v>Canada</v>
      </c>
      <c r="V5" t="s">
        <v>1264</v>
      </c>
      <c r="W5" s="82">
        <f>IFERROR(_xlfn.XLOOKUP(V5,Rounds!U$2:U$5,Rounds!V$2:V$5), _xlfn.XLOOKUP(V5,Rounds!X$2:X$5,Rounds!W$2:W$5))</f>
        <v>3</v>
      </c>
      <c r="X5" s="82">
        <f>IFERROR(_xlfn.XLOOKUP(V5,Rounds!U$2:U$5,Rounds!W$2:W$5), _xlfn.XLOOKUP(V5,Rounds!X$2:X$5,Rounds!V$2:V$5))</f>
        <v>1</v>
      </c>
      <c r="Y5" s="134" t="str">
        <f>IFERROR(_xlfn.XLOOKUP(V5,Rounds!U$2:U$5,Rounds!X$2:X$5), _xlfn.XLOOKUP(V5,Rounds!X$2:X$5,Rounds!U$2:U$5))</f>
        <v>Switzerland</v>
      </c>
      <c r="Z5" t="s">
        <v>1148</v>
      </c>
      <c r="AA5" s="82">
        <f>IFERROR(_xlfn.XLOOKUP(Z5,Rounds!Y$2:Y$3,Rounds!Z$2:Z$3), _xlfn.XLOOKUP(Z5,Rounds!AB$2:AB$3,Rounds!AA$2:AA$3))</f>
        <v>1</v>
      </c>
      <c r="AB5" s="82">
        <f>IFERROR(_xlfn.XLOOKUP(Z5,Rounds!Y$2:Y$3,Rounds!AA$2:AA$3), _xlfn.XLOOKUP(Z5,Rounds!AB$2:AB$3,Rounds!Z$2:Z$3))</f>
        <v>2</v>
      </c>
      <c r="AC5" s="134" t="str">
        <f>IFERROR(_xlfn.XLOOKUP(Z5,Rounds!Y$2:Y$3,Rounds!AB$2:AB$3), _xlfn.XLOOKUP(Z5,Rounds!AB$2:AB$3,Rounds!Y$2:Y$3))</f>
        <v>Argentina</v>
      </c>
      <c r="AD5" t="s">
        <v>1508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str" cm="1">
        <f t="array" ref="AG5">IFERROR(_xlfn.XLOOKUP(AD5,Rounds!AC$2:AC$2,Rounds!AF$2:AF$2), _xlfn.XLOOKUP(AD5,Rounds!AF$2:AF$2,Rounds!AC$2:AC$2))</f>
        <v>Argentina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>
        <f>IFERROR(_xlfn.XLOOKUP(F6,Rounds!E$2:E$25,Rounds!F$2:F$25), _xlfn.XLOOKUP(F6,Rounds!H$2:H$25,Rounds!G$2:G$25))</f>
        <v>4</v>
      </c>
      <c r="H6" s="146">
        <f>IFERROR(_xlfn.XLOOKUP(F6,Rounds!E$2:E$25,Rounds!G$2:G$25), _xlfn.XLOOKUP(F6,Rounds!H$2:H$25,Rounds!F$2:F$25))</f>
        <v>0</v>
      </c>
      <c r="I6" s="147" t="str">
        <f>IFERROR(_xlfn.XLOOKUP(F6,Rounds!E$2:E$25,Rounds!H$2:H$25), _xlfn.XLOOKUP(F6,Rounds!H$2:H$25,Rounds!E$2:E$25))</f>
        <v>Tunisia</v>
      </c>
      <c r="J6" s="148" t="s">
        <v>2201</v>
      </c>
      <c r="K6" s="146">
        <f>IFERROR(_xlfn.XLOOKUP(J6,Rounds!I$2:I$25,Rounds!J$2:J$25), _xlfn.XLOOKUP(J6,Rounds!L$2:L$25,Rounds!K$2:K$25))</f>
        <v>2</v>
      </c>
      <c r="L6" s="146">
        <f>IFERROR(_xlfn.XLOOKUP(J6,Rounds!I$2:I$25,Rounds!K$2:K$25), _xlfn.XLOOKUP(J6,Rounds!L$2:L$25,Rounds!J$2:J$25))</f>
        <v>0</v>
      </c>
      <c r="M6" s="147" t="str">
        <f>IFERROR(_xlfn.XLOOKUP(J6,Rounds!I$2:I$25,Rounds!L$2:L$25), _xlfn.XLOOKUP(J6,Rounds!L$2:L$25,Rounds!I$2:I$25))</f>
        <v>Curaçao</v>
      </c>
      <c r="N6" s="148" t="s">
        <v>1565</v>
      </c>
      <c r="O6" s="146">
        <f>IFERROR(_xlfn.XLOOKUP(N6,Rounds!M$2:M$17,Rounds!N$2:N$17), _xlfn.XLOOKUP(N6,Rounds!P$2:P$17,Rounds!O$2:O$17))</f>
        <v>1</v>
      </c>
      <c r="P6" s="146">
        <f>IFERROR(_xlfn.XLOOKUP(N6,Rounds!M$2:M$17,Rounds!O$2:O$17), _xlfn.XLOOKUP(N6,Rounds!P$2:P$17,Rounds!N$2:N$17))</f>
        <v>2</v>
      </c>
      <c r="Q6" s="147" t="str">
        <f>IFERROR(_xlfn.XLOOKUP(N6,Rounds!M$2:M$17,Rounds!P$2:P$17), _xlfn.XLOOKUP(N6,Rounds!P$2:P$17,Rounds!M$2:M$17))</f>
        <v>Paraguay</v>
      </c>
      <c r="R6" s="148" t="s">
        <v>1323</v>
      </c>
      <c r="S6" s="146">
        <f>IFERROR(_xlfn.XLOOKUP(R6,Rounds!Q$2:Q$9,Rounds!R$2:R$9), _xlfn.XLOOKUP(R6,Rounds!T$2:T$9,Rounds!S$2:S$9))</f>
        <v>2</v>
      </c>
      <c r="T6" s="146">
        <f>IFERROR(_xlfn.XLOOKUP(R6,Rounds!Q$2:Q$9,Rounds!S$2:S$9), _xlfn.XLOOKUP(R6,Rounds!T$2:T$9,Rounds!R$2:R$9))</f>
        <v>3</v>
      </c>
      <c r="U6" s="147" t="str">
        <f>IFERROR(_xlfn.XLOOKUP(R6,Rounds!Q$2:Q$9,Rounds!T$2:T$9), _xlfn.XLOOKUP(R6,Rounds!T$2:T$9,Rounds!Q$2:Q$9))</f>
        <v>England</v>
      </c>
      <c r="V6" s="148" t="s">
        <v>1508</v>
      </c>
      <c r="W6" s="146">
        <f>IFERROR(_xlfn.XLOOKUP(V6,Rounds!U$2:U$5,Rounds!V$2:V$5), _xlfn.XLOOKUP(V6,Rounds!X$2:X$5,Rounds!W$2:W$5))</f>
        <v>2</v>
      </c>
      <c r="X6" s="146">
        <f>IFERROR(_xlfn.XLOOKUP(V6,Rounds!U$2:U$5,Rounds!W$2:W$5), _xlfn.XLOOKUP(V6,Rounds!X$2:X$5,Rounds!V$2:V$5))</f>
        <v>1</v>
      </c>
      <c r="Y6" s="147" t="str">
        <f>IFERROR(_xlfn.XLOOKUP(V6,Rounds!U$2:U$5,Rounds!X$2:X$5), _xlfn.XLOOKUP(V6,Rounds!X$2:X$5,Rounds!U$2:U$5))</f>
        <v>Belgium</v>
      </c>
      <c r="Z6" s="148" t="s">
        <v>1148</v>
      </c>
      <c r="AA6" s="146">
        <f>IFERROR(_xlfn.XLOOKUP(Z6,Rounds!Y$2:Y$3,Rounds!Z$2:Z$3), _xlfn.XLOOKUP(Z6,Rounds!AB$2:AB$3,Rounds!AA$2:AA$3))</f>
        <v>1</v>
      </c>
      <c r="AB6" s="146">
        <f>IFERROR(_xlfn.XLOOKUP(Z6,Rounds!Y$2:Y$3,Rounds!AA$2:AA$3), _xlfn.XLOOKUP(Z6,Rounds!AB$2:AB$3,Rounds!Z$2:Z$3))</f>
        <v>2</v>
      </c>
      <c r="AC6" s="147" t="str">
        <f>IFERROR(_xlfn.XLOOKUP(Z6,Rounds!Y$2:Y$3,Rounds!AB$2:AB$3), _xlfn.XLOOKUP(Z6,Rounds!AB$2:AB$3,Rounds!Y$2:Y$3))</f>
        <v>Argentina</v>
      </c>
      <c r="AD6" s="148" t="s">
        <v>1264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str" cm="1">
        <f t="array" ref="AG6">IFERROR(_xlfn.XLOOKUP(AD6,Rounds!AC$2:AC$2,Rounds!AF$2:AF$2), _xlfn.XLOOKUP(AD6,Rounds!AF$2:AF$2,Rounds!AC$2:AC$2))</f>
        <v>Spain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>
        <f>IFERROR(_xlfn.XLOOKUP(F7,Rounds!E$2:E$25,Rounds!F$2:F$25), _xlfn.XLOOKUP(F7,Rounds!H$2:H$25,Rounds!G$2:G$25))</f>
        <v>3</v>
      </c>
      <c r="H7" s="82">
        <f>IFERROR(_xlfn.XLOOKUP(F7,Rounds!E$2:E$25,Rounds!G$2:G$25), _xlfn.XLOOKUP(F7,Rounds!H$2:H$25,Rounds!F$2:F$25))</f>
        <v>1</v>
      </c>
      <c r="I7" s="134" t="str">
        <f>IFERROR(_xlfn.XLOOKUP(F7,Rounds!E$2:E$25,Rounds!H$2:H$25), _xlfn.XLOOKUP(F7,Rounds!H$2:H$25,Rounds!E$2:E$25))</f>
        <v>New Zealand</v>
      </c>
      <c r="J7" t="s">
        <v>1995</v>
      </c>
      <c r="K7" s="82">
        <f>IFERROR(_xlfn.XLOOKUP(J7,Rounds!I$2:I$25,Rounds!J$2:J$25), _xlfn.XLOOKUP(J7,Rounds!L$2:L$25,Rounds!K$2:K$25))</f>
        <v>3</v>
      </c>
      <c r="L7" s="82">
        <f>IFERROR(_xlfn.XLOOKUP(J7,Rounds!I$2:I$25,Rounds!K$2:K$25), _xlfn.XLOOKUP(J7,Rounds!L$2:L$25,Rounds!J$2:J$25))</f>
        <v>1</v>
      </c>
      <c r="M7" s="134" t="str">
        <f>IFERROR(_xlfn.XLOOKUP(J7,Rounds!I$2:I$25,Rounds!L$2:L$25), _xlfn.XLOOKUP(J7,Rounds!L$2:L$25,Rounds!I$2:I$25))</f>
        <v>Qatar</v>
      </c>
      <c r="N7" t="s">
        <v>1633</v>
      </c>
      <c r="O7" s="82">
        <f>IFERROR(_xlfn.XLOOKUP(N7,Rounds!M$2:M$17,Rounds!N$2:N$17), _xlfn.XLOOKUP(N7,Rounds!P$2:P$17,Rounds!O$2:O$17))</f>
        <v>3</v>
      </c>
      <c r="P7" s="82">
        <f>IFERROR(_xlfn.XLOOKUP(N7,Rounds!M$2:M$17,Rounds!O$2:O$17), _xlfn.XLOOKUP(N7,Rounds!P$2:P$17,Rounds!N$2:N$17))</f>
        <v>2</v>
      </c>
      <c r="Q7" s="134" t="str">
        <f>IFERROR(_xlfn.XLOOKUP(N7,Rounds!M$2:M$17,Rounds!P$2:P$17), _xlfn.XLOOKUP(N7,Rounds!P$2:P$17,Rounds!M$2:M$17))</f>
        <v>Senegal</v>
      </c>
      <c r="R7" t="s">
        <v>1508</v>
      </c>
      <c r="S7" s="82">
        <f>IFERROR(_xlfn.XLOOKUP(R7,Rounds!Q$2:Q$9,Rounds!R$2:R$9), _xlfn.XLOOKUP(R7,Rounds!T$2:T$9,Rounds!S$2:S$9))</f>
        <v>1</v>
      </c>
      <c r="T7" s="82">
        <f>IFERROR(_xlfn.XLOOKUP(R7,Rounds!Q$2:Q$9,Rounds!S$2:S$9), _xlfn.XLOOKUP(R7,Rounds!T$2:T$9,Rounds!R$2:R$9))</f>
        <v>0</v>
      </c>
      <c r="U7" s="134" t="str">
        <f>IFERROR(_xlfn.XLOOKUP(R7,Rounds!Q$2:Q$9,Rounds!T$2:T$9), _xlfn.XLOOKUP(R7,Rounds!T$2:T$9,Rounds!Q$2:Q$9))</f>
        <v>Portugal</v>
      </c>
      <c r="V7" t="s">
        <v>1264</v>
      </c>
      <c r="W7" s="82">
        <f>IFERROR(_xlfn.XLOOKUP(V7,Rounds!U$2:U$5,Rounds!V$2:V$5), _xlfn.XLOOKUP(V7,Rounds!X$2:X$5,Rounds!W$2:W$5))</f>
        <v>3</v>
      </c>
      <c r="X7" s="82">
        <f>IFERROR(_xlfn.XLOOKUP(V7,Rounds!U$2:U$5,Rounds!W$2:W$5), _xlfn.XLOOKUP(V7,Rounds!X$2:X$5,Rounds!V$2:V$5))</f>
        <v>1</v>
      </c>
      <c r="Y7" s="134" t="str">
        <f>IFERROR(_xlfn.XLOOKUP(V7,Rounds!U$2:U$5,Rounds!X$2:X$5), _xlfn.XLOOKUP(V7,Rounds!X$2:X$5,Rounds!U$2:U$5))</f>
        <v>Switzerland</v>
      </c>
      <c r="Z7" t="s">
        <v>1384</v>
      </c>
      <c r="AA7" s="82">
        <f>IFERROR(_xlfn.XLOOKUP(Z7,Rounds!Y$2:Y$3,Rounds!Z$2:Z$3), _xlfn.XLOOKUP(Z7,Rounds!AB$2:AB$3,Rounds!AA$2:AA$3))</f>
        <v>0</v>
      </c>
      <c r="AB7" s="82">
        <f>IFERROR(_xlfn.XLOOKUP(Z7,Rounds!Y$2:Y$3,Rounds!AA$2:AA$3), _xlfn.XLOOKUP(Z7,Rounds!AB$2:AB$3,Rounds!Z$2:Z$3))</f>
        <v>2</v>
      </c>
      <c r="AC7" s="134" t="str">
        <f>IFERROR(_xlfn.XLOOKUP(Z7,Rounds!Y$2:Y$3,Rounds!AB$2:AB$3), _xlfn.XLOOKUP(Z7,Rounds!AB$2:AB$3,Rounds!Y$2:Y$3))</f>
        <v>Spain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>
        <f>IFERROR(_xlfn.XLOOKUP(F8,Rounds!E$2:E$25,Rounds!F$2:F$25), _xlfn.XLOOKUP(F8,Rounds!H$2:H$25,Rounds!G$2:G$25))</f>
        <v>0</v>
      </c>
      <c r="H8" s="150">
        <f>IFERROR(_xlfn.XLOOKUP(F8,Rounds!E$2:E$25,Rounds!G$2:G$25), _xlfn.XLOOKUP(F8,Rounds!H$2:H$25,Rounds!F$2:F$25))</f>
        <v>0</v>
      </c>
      <c r="I8" s="151" t="str">
        <f>IFERROR(_xlfn.XLOOKUP(F8,Rounds!E$2:E$25,Rounds!H$2:H$25), _xlfn.XLOOKUP(F8,Rounds!H$2:H$25,Rounds!E$2:E$25))</f>
        <v>Curaçao</v>
      </c>
      <c r="J8" s="152" t="s">
        <v>1677</v>
      </c>
      <c r="K8" s="150">
        <f>IFERROR(_xlfn.XLOOKUP(J8,Rounds!I$2:I$25,Rounds!J$2:J$25), _xlfn.XLOOKUP(J8,Rounds!L$2:L$25,Rounds!K$2:K$25))</f>
        <v>4</v>
      </c>
      <c r="L8" s="150">
        <f>IFERROR(_xlfn.XLOOKUP(J8,Rounds!I$2:I$25,Rounds!K$2:K$25), _xlfn.XLOOKUP(J8,Rounds!L$2:L$25,Rounds!J$2:J$25))</f>
        <v>2</v>
      </c>
      <c r="M8" s="151" t="str">
        <f>IFERROR(_xlfn.XLOOKUP(J8,Rounds!I$2:I$25,Rounds!L$2:L$25), _xlfn.XLOOKUP(J8,Rounds!L$2:L$25,Rounds!I$2:I$25))</f>
        <v>Haiti</v>
      </c>
      <c r="N8" s="152" t="s">
        <v>1662</v>
      </c>
      <c r="O8" s="150">
        <f>IFERROR(_xlfn.XLOOKUP(N8,Rounds!M$2:M$17,Rounds!N$2:N$17), _xlfn.XLOOKUP(N8,Rounds!P$2:P$17,Rounds!O$2:O$17))</f>
        <v>1</v>
      </c>
      <c r="P8" s="150">
        <f>IFERROR(_xlfn.XLOOKUP(N8,Rounds!M$2:M$17,Rounds!O$2:O$17), _xlfn.XLOOKUP(N8,Rounds!P$2:P$17,Rounds!N$2:N$17))</f>
        <v>0</v>
      </c>
      <c r="Q8" s="151" t="str">
        <f>IFERROR(_xlfn.XLOOKUP(N8,Rounds!M$2:M$17,Rounds!P$2:P$17), _xlfn.XLOOKUP(N8,Rounds!P$2:P$17,Rounds!M$2:M$17))</f>
        <v>South Africa</v>
      </c>
      <c r="R8" s="152" t="s">
        <v>1148</v>
      </c>
      <c r="S8" s="150">
        <f>IFERROR(_xlfn.XLOOKUP(R8,Rounds!Q$2:Q$9,Rounds!R$2:R$9), _xlfn.XLOOKUP(R8,Rounds!T$2:T$9,Rounds!S$2:S$9))</f>
        <v>3</v>
      </c>
      <c r="T8" s="150">
        <f>IFERROR(_xlfn.XLOOKUP(R8,Rounds!Q$2:Q$9,Rounds!S$2:S$9), _xlfn.XLOOKUP(R8,Rounds!T$2:T$9,Rounds!R$2:R$9))</f>
        <v>2</v>
      </c>
      <c r="U8" s="151" t="str">
        <f>IFERROR(_xlfn.XLOOKUP(R8,Rounds!Q$2:Q$9,Rounds!T$2:T$9), _xlfn.XLOOKUP(R8,Rounds!T$2:T$9,Rounds!Q$2:Q$9))</f>
        <v>Mexico</v>
      </c>
      <c r="V8" s="152" t="s">
        <v>2395</v>
      </c>
      <c r="W8" s="150">
        <f>IFERROR(_xlfn.XLOOKUP(V8,Rounds!U$2:U$5,Rounds!V$2:V$5), _xlfn.XLOOKUP(V8,Rounds!X$2:X$5,Rounds!W$2:W$5))</f>
        <v>1</v>
      </c>
      <c r="X8" s="150">
        <f>IFERROR(_xlfn.XLOOKUP(V8,Rounds!U$2:U$5,Rounds!W$2:W$5), _xlfn.XLOOKUP(V8,Rounds!X$2:X$5,Rounds!V$2:V$5))</f>
        <v>2</v>
      </c>
      <c r="Y8" s="151" t="str">
        <f>IFERROR(_xlfn.XLOOKUP(V8,Rounds!U$2:U$5,Rounds!X$2:X$5), _xlfn.XLOOKUP(V8,Rounds!X$2:X$5,Rounds!U$2:U$5))</f>
        <v>England</v>
      </c>
      <c r="Z8" s="152" t="s">
        <v>1508</v>
      </c>
      <c r="AA8" s="150">
        <f>IFERROR(_xlfn.XLOOKUP(Z8,Rounds!Y$2:Y$3,Rounds!Z$2:Z$3), _xlfn.XLOOKUP(Z8,Rounds!AB$2:AB$3,Rounds!AA$2:AA$3))</f>
        <v>2</v>
      </c>
      <c r="AB8" s="150">
        <f>IFERROR(_xlfn.XLOOKUP(Z8,Rounds!Y$2:Y$3,Rounds!AA$2:AA$3), _xlfn.XLOOKUP(Z8,Rounds!AB$2:AB$3,Rounds!Z$2:Z$3))</f>
        <v>0</v>
      </c>
      <c r="AC8" s="151" t="str">
        <f>IFERROR(_xlfn.XLOOKUP(Z8,Rounds!Y$2:Y$3,Rounds!AB$2:AB$3), _xlfn.XLOOKUP(Z8,Rounds!AB$2:AB$3,Rounds!Y$2:Y$3))</f>
        <v>France</v>
      </c>
      <c r="AD8" s="152" t="s">
        <v>1264</v>
      </c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str" cm="1">
        <f t="array" ref="AG8">IFERROR(_xlfn.XLOOKUP(AD8,Rounds!AC$2:AC$2,Rounds!AF$2:AF$2), _xlfn.XLOOKUP(AD8,Rounds!AF$2:AF$2,Rounds!AC$2:AC$2))</f>
        <v>Spain</v>
      </c>
    </row>
    <row r="18" spans="14:14" x14ac:dyDescent="0.2">
      <c r="N18" t="s">
        <v>3715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topLeftCell="N1" zoomScaleNormal="100" workbookViewId="0">
      <selection activeCell="T19" sqref="T19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>
        <v>1</v>
      </c>
      <c r="G2" s="81">
        <v>1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>
        <v>0</v>
      </c>
      <c r="K2" s="81">
        <v>3</v>
      </c>
      <c r="L2" s="134" t="str">
        <v>Brazil</v>
      </c>
      <c r="M2" s="132" t="str">
        <f>IF('2026 World Cup'!BL10="",NA(),'2026 World Cup'!BL10)</f>
        <v>Germany</v>
      </c>
      <c r="N2" s="81">
        <f>IF('2026 World Cup'!$BM10="",NA(),'2026 World Cup'!$BM10)</f>
        <v>1</v>
      </c>
      <c r="O2" s="81">
        <f>IF('2026 World Cup'!$BM11="",NA(),'2026 World Cup'!$BM11)</f>
        <v>2</v>
      </c>
      <c r="P2" s="134" t="str">
        <f>'2026 World Cup'!BL11</f>
        <v>Paraguay</v>
      </c>
      <c r="Q2" s="132" t="str">
        <f>'2026 World Cup'!BS12</f>
        <v>Paraguay</v>
      </c>
      <c r="R2" s="81">
        <f>IF('2026 World Cup'!$BT12="",NA(),'2026 World Cup'!$BT12)</f>
        <v>0</v>
      </c>
      <c r="S2" s="81">
        <f>IF('2026 World Cup'!$BT13="",NA(),'2026 World Cup'!$BT13)</f>
        <v>1</v>
      </c>
      <c r="T2" s="134" t="str">
        <f>'2026 World Cup'!BS13</f>
        <v>France</v>
      </c>
      <c r="U2" s="132" t="str">
        <f>'2026 World Cup'!BZ16</f>
        <v>France</v>
      </c>
      <c r="V2" s="81">
        <f>IF('2026 World Cup'!$CA16="",NA(),'2026 World Cup'!$CA16)</f>
        <v>2</v>
      </c>
      <c r="W2" s="81">
        <f>IF('2026 World Cup'!$CA17="",NA(),'2026 World Cup'!$CA17)</f>
        <v>0</v>
      </c>
      <c r="X2" s="134" t="str">
        <f>'2026 World Cup'!BZ17</f>
        <v>Morocco</v>
      </c>
      <c r="Y2" s="132" t="str">
        <f>'2026 World Cup'!CG23</f>
        <v>France</v>
      </c>
      <c r="Z2" s="81">
        <f>IF('2026 World Cup'!$CH23="",NA(),'2026 World Cup'!$CH23)</f>
        <v>0</v>
      </c>
      <c r="AA2" s="81">
        <f>IF('2026 World Cup'!$CH24="",NA(),'2026 World Cup'!$CH24)</f>
        <v>2</v>
      </c>
      <c r="AB2" s="134" t="str">
        <f>'2026 World Cup'!CG24</f>
        <v>Spain</v>
      </c>
      <c r="AC2" s="135" t="str">
        <f>'2026 World Cup'!CN37</f>
        <v>Spain</v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>Argentina</v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>
        <v>4</v>
      </c>
      <c r="G3" s="81">
        <v>1</v>
      </c>
      <c r="H3" s="134" t="str">
        <v>Bosnia and Herzegovina</v>
      </c>
      <c r="I3" s="132" t="str">
        <v>Morocco</v>
      </c>
      <c r="J3" s="81">
        <v>4</v>
      </c>
      <c r="K3" s="81">
        <v>2</v>
      </c>
      <c r="L3" s="134" t="str">
        <v>Haiti</v>
      </c>
      <c r="M3" s="132" t="str">
        <f>'2026 World Cup'!BL14</f>
        <v>France</v>
      </c>
      <c r="N3" s="81">
        <f>IF('2026 World Cup'!$BM14="",NA(),'2026 World Cup'!$BM14)</f>
        <v>3</v>
      </c>
      <c r="O3" s="81">
        <f>IF('2026 World Cup'!$BM15="",NA(),'2026 World Cup'!$BM15)</f>
        <v>0</v>
      </c>
      <c r="P3" s="134" t="str">
        <f>'2026 World Cup'!BL15</f>
        <v>Sweden</v>
      </c>
      <c r="Q3" s="132" t="str">
        <f>'2026 World Cup'!BS20</f>
        <v>Canada</v>
      </c>
      <c r="R3" s="81">
        <f>IF('2026 World Cup'!$BT20="",NA(),'2026 World Cup'!$BT20)</f>
        <v>0</v>
      </c>
      <c r="S3" s="81">
        <f>IF('2026 World Cup'!$BT21="",NA(),'2026 World Cup'!$BT21)</f>
        <v>3</v>
      </c>
      <c r="T3" s="134" t="str">
        <f>'2026 World Cup'!BS21</f>
        <v>Morocco</v>
      </c>
      <c r="U3" s="132" t="str">
        <f>'2026 World Cup'!BZ32</f>
        <v>Spain</v>
      </c>
      <c r="V3" s="81">
        <f>IF('2026 World Cup'!$CA32="",NA(),'2026 World Cup'!$CA32)</f>
        <v>2</v>
      </c>
      <c r="W3" s="81">
        <f>IF('2026 World Cup'!$CA33="",NA(),'2026 World Cup'!$CA33)</f>
        <v>1</v>
      </c>
      <c r="X3" s="134" t="str">
        <f>'2026 World Cup'!BZ33</f>
        <v>Belgium</v>
      </c>
      <c r="Y3" s="135" t="str">
        <f>'2026 World Cup'!CG55</f>
        <v>England</v>
      </c>
      <c r="Z3" s="153">
        <f>IF('2026 World Cup'!$CH55="",NA(),'2026 World Cup'!$CH55)</f>
        <v>1</v>
      </c>
      <c r="AA3" s="153">
        <f>IF('2026 World Cup'!$CH56="",NA(),'2026 World Cup'!$CH56)</f>
        <v>2</v>
      </c>
      <c r="AB3" s="136" t="str">
        <f>'2026 World Cup'!CG56</f>
        <v>Argentina</v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>
        <v>6</v>
      </c>
      <c r="G4" s="81">
        <v>0</v>
      </c>
      <c r="H4" s="134" t="str">
        <v>Qatar</v>
      </c>
      <c r="I4" s="132" t="str">
        <v>Switzerland</v>
      </c>
      <c r="J4" s="81">
        <v>2</v>
      </c>
      <c r="K4" s="81">
        <v>1</v>
      </c>
      <c r="L4" s="134" t="str">
        <v>Canada</v>
      </c>
      <c r="M4" s="132" t="str">
        <f>'2026 World Cup'!BL18</f>
        <v>South Africa</v>
      </c>
      <c r="N4" s="81">
        <f>IF('2026 World Cup'!$BM18="",NA(),'2026 World Cup'!$BM18)</f>
        <v>0</v>
      </c>
      <c r="O4" s="81">
        <f>IF('2026 World Cup'!$BM19="",NA(),'2026 World Cup'!$BM19)</f>
        <v>1</v>
      </c>
      <c r="P4" s="134" t="str">
        <f>'2026 World Cup'!BL19</f>
        <v>Canada</v>
      </c>
      <c r="Q4" s="132" t="str">
        <f>'2026 World Cup'!BS28</f>
        <v>Portugal</v>
      </c>
      <c r="R4" s="81">
        <f>IF('2026 World Cup'!$BT28="",NA(),'2026 World Cup'!$BT28)</f>
        <v>0</v>
      </c>
      <c r="S4" s="81">
        <f>IF('2026 World Cup'!$BT29="",NA(),'2026 World Cup'!$BT29)</f>
        <v>1</v>
      </c>
      <c r="T4" s="134" t="str">
        <f>'2026 World Cup'!BS29</f>
        <v>Spain</v>
      </c>
      <c r="U4" s="132" t="str">
        <f>'2026 World Cup'!BZ48</f>
        <v>Norway</v>
      </c>
      <c r="V4" s="81">
        <f>IF('2026 World Cup'!$CA48="",NA(),'2026 World Cup'!$CA48)</f>
        <v>1</v>
      </c>
      <c r="W4" s="81">
        <f>IF('2026 World Cup'!$CA49="",NA(),'2026 World Cup'!$CA49)</f>
        <v>2</v>
      </c>
      <c r="X4" s="134" t="str">
        <f>'2026 World Cup'!BZ49</f>
        <v>England</v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>
        <v>1</v>
      </c>
      <c r="G5" s="81">
        <v>0</v>
      </c>
      <c r="H5" s="134" t="str">
        <v>Korea Republic</v>
      </c>
      <c r="I5" s="132" t="str">
        <v>Bosnia and Herzegovina</v>
      </c>
      <c r="J5" s="81">
        <v>3</v>
      </c>
      <c r="K5" s="81">
        <v>1</v>
      </c>
      <c r="L5" s="134" t="str">
        <v>Qatar</v>
      </c>
      <c r="M5" s="132" t="str">
        <f>'2026 World Cup'!BL22</f>
        <v>Netherlands</v>
      </c>
      <c r="N5" s="81">
        <f>IF('2026 World Cup'!$BM22="",NA(),'2026 World Cup'!$BM22)</f>
        <v>1</v>
      </c>
      <c r="O5" s="81">
        <f>IF('2026 World Cup'!$BM23="",NA(),'2026 World Cup'!$BM23)</f>
        <v>2</v>
      </c>
      <c r="P5" s="134" t="str">
        <f>'2026 World Cup'!BL23</f>
        <v>Morocco</v>
      </c>
      <c r="Q5" s="132" t="str">
        <f>'2026 World Cup'!BS36</f>
        <v>United States</v>
      </c>
      <c r="R5" s="81">
        <f>IF('2026 World Cup'!$BT36="",NA(),'2026 World Cup'!$BT36)</f>
        <v>1</v>
      </c>
      <c r="S5" s="81">
        <f>IF('2026 World Cup'!$BT37="",NA(),'2026 World Cup'!$BT37)</f>
        <v>4</v>
      </c>
      <c r="T5" s="134" t="str">
        <f>'2026 World Cup'!BS37</f>
        <v>Belgium</v>
      </c>
      <c r="U5" s="135" t="str">
        <f>'2026 World Cup'!BZ64</f>
        <v>Argentina</v>
      </c>
      <c r="V5" s="153">
        <f>IF('2026 World Cup'!$CA64="",NA(),'2026 World Cup'!$CA64)</f>
        <v>3</v>
      </c>
      <c r="W5" s="153">
        <f>IF('2026 World Cup'!$CA65="",NA(),'2026 World Cup'!$CA65)</f>
        <v>1</v>
      </c>
      <c r="X5" s="136" t="str">
        <f>'2026 World Cup'!BZ65</f>
        <v>Switzerland</v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>
        <v>3</v>
      </c>
      <c r="G6" s="81">
        <v>0</v>
      </c>
      <c r="H6" s="134" t="str">
        <v>Haiti</v>
      </c>
      <c r="I6" s="132" t="str">
        <v>Czech Republic</v>
      </c>
      <c r="J6" s="81">
        <v>0</v>
      </c>
      <c r="K6" s="81">
        <v>3</v>
      </c>
      <c r="L6" s="134" t="str">
        <v>Mexico</v>
      </c>
      <c r="M6" s="132" t="str">
        <f>'2026 World Cup'!BL26</f>
        <v>Portugal</v>
      </c>
      <c r="N6" s="81">
        <f>IF('2026 World Cup'!$BM26="",NA(),'2026 World Cup'!$BM26)</f>
        <v>2</v>
      </c>
      <c r="O6" s="81">
        <f>IF('2026 World Cup'!$BM27="",NA(),'2026 World Cup'!$BM27)</f>
        <v>1</v>
      </c>
      <c r="P6" s="134" t="str">
        <f>'2026 World Cup'!BL27</f>
        <v>Croatia</v>
      </c>
      <c r="Q6" s="132" t="str">
        <f>'2026 World Cup'!BS44</f>
        <v>Brazil</v>
      </c>
      <c r="R6" s="81">
        <f>IF('2026 World Cup'!$BT44="",NA(),'2026 World Cup'!$BT44)</f>
        <v>1</v>
      </c>
      <c r="S6" s="81">
        <f>IF('2026 World Cup'!$BT45="",NA(),'2026 World Cup'!$BT45)</f>
        <v>2</v>
      </c>
      <c r="T6" s="134" t="str">
        <f>'2026 World Cup'!BS45</f>
        <v>Norway</v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>
        <v>0</v>
      </c>
      <c r="G7" s="81">
        <v>1</v>
      </c>
      <c r="H7" s="134" t="str">
        <v>Morocco</v>
      </c>
      <c r="I7" s="132" t="str">
        <v>South Africa</v>
      </c>
      <c r="J7" s="81">
        <v>1</v>
      </c>
      <c r="K7" s="81">
        <v>0</v>
      </c>
      <c r="L7" s="134" t="str">
        <v>Korea Republic</v>
      </c>
      <c r="M7" s="132" t="str">
        <f>'2026 World Cup'!BL30</f>
        <v>Spain</v>
      </c>
      <c r="N7" s="81">
        <f>IF('2026 World Cup'!$BM30="",NA(),'2026 World Cup'!$BM30)</f>
        <v>3</v>
      </c>
      <c r="O7" s="81">
        <f>IF('2026 World Cup'!$BM31="",NA(),'2026 World Cup'!$BM31)</f>
        <v>0</v>
      </c>
      <c r="P7" s="134" t="str">
        <f>'2026 World Cup'!BL31</f>
        <v>Austria</v>
      </c>
      <c r="Q7" s="132" t="str">
        <f>'2026 World Cup'!BS52</f>
        <v>Mexico</v>
      </c>
      <c r="R7" s="81">
        <f>IF('2026 World Cup'!$BT52="",NA(),'2026 World Cup'!$BT52)</f>
        <v>2</v>
      </c>
      <c r="S7" s="81">
        <f>IF('2026 World Cup'!$BT53="",NA(),'2026 World Cup'!$BT53)</f>
        <v>3</v>
      </c>
      <c r="T7" s="134" t="str">
        <f>'2026 World Cup'!BS53</f>
        <v>England</v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>
        <v>2</v>
      </c>
      <c r="G8" s="81">
        <v>0</v>
      </c>
      <c r="H8" s="134" t="str">
        <v>Australia</v>
      </c>
      <c r="I8" s="132" t="str">
        <v>Curaçao</v>
      </c>
      <c r="J8" s="81">
        <v>0</v>
      </c>
      <c r="K8" s="81">
        <v>2</v>
      </c>
      <c r="L8" s="134" t="str">
        <v>Ivory Coast</v>
      </c>
      <c r="M8" s="132" t="str">
        <f>'2026 World Cup'!BL34</f>
        <v>United States</v>
      </c>
      <c r="N8" s="81">
        <f>IF('2026 World Cup'!$BM34="",NA(),'2026 World Cup'!$BM34)</f>
        <v>2</v>
      </c>
      <c r="O8" s="81">
        <f>IF('2026 World Cup'!$BM35="",NA(),'2026 World Cup'!$BM35)</f>
        <v>0</v>
      </c>
      <c r="P8" s="134" t="str">
        <f>'2026 World Cup'!BL35</f>
        <v>Bosnia and Herzegovina</v>
      </c>
      <c r="Q8" s="132" t="str">
        <f>'2026 World Cup'!BS60</f>
        <v>Argentina</v>
      </c>
      <c r="R8" s="81">
        <f>IF('2026 World Cup'!$BT60="",NA(),'2026 World Cup'!$BT60)</f>
        <v>3</v>
      </c>
      <c r="S8" s="81">
        <f>IF('2026 World Cup'!$BT61="",NA(),'2026 World Cup'!$BT61)</f>
        <v>2</v>
      </c>
      <c r="T8" s="134" t="str">
        <f>'2026 World Cup'!BS61</f>
        <v>Egypt</v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>
        <v>0</v>
      </c>
      <c r="G9" s="81">
        <v>1</v>
      </c>
      <c r="H9" s="134" t="str">
        <v>Paraguay</v>
      </c>
      <c r="I9" s="132" t="str">
        <v>Ecuador</v>
      </c>
      <c r="J9" s="81">
        <v>2</v>
      </c>
      <c r="K9" s="81">
        <v>1</v>
      </c>
      <c r="L9" s="134" t="str">
        <v>Germany</v>
      </c>
      <c r="M9" s="132" t="str">
        <f>'2026 World Cup'!BL38</f>
        <v>Belgium</v>
      </c>
      <c r="N9" s="81">
        <f>IF('2026 World Cup'!$BM38="",NA(),'2026 World Cup'!$BM38)</f>
        <v>3</v>
      </c>
      <c r="O9" s="81">
        <f>IF('2026 World Cup'!$BM39="",NA(),'2026 World Cup'!$BM39)</f>
        <v>2</v>
      </c>
      <c r="P9" s="134" t="str">
        <f>'2026 World Cup'!BL39</f>
        <v>Senegal</v>
      </c>
      <c r="Q9" s="135" t="str">
        <f>'2026 World Cup'!BS68</f>
        <v>Switzerland</v>
      </c>
      <c r="R9" s="153">
        <f>IF('2026 World Cup'!$BT68="",NA(),'2026 World Cup'!$BT68)</f>
        <v>1</v>
      </c>
      <c r="S9" s="153">
        <f>IF('2026 World Cup'!$BT69="",NA(),'2026 World Cup'!$BT69)</f>
        <v>0</v>
      </c>
      <c r="T9" s="136" t="str">
        <f>'2026 World Cup'!BS69</f>
        <v>Colombia</v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>
        <v>2</v>
      </c>
      <c r="G10" s="81">
        <v>1</v>
      </c>
      <c r="H10" s="134" t="str">
        <v>Ivory Coast</v>
      </c>
      <c r="I10" s="132" t="str">
        <v>Japan</v>
      </c>
      <c r="J10" s="81">
        <v>1</v>
      </c>
      <c r="K10" s="81">
        <v>1</v>
      </c>
      <c r="L10" s="134" t="str">
        <v>Sweden</v>
      </c>
      <c r="M10" s="132" t="str">
        <f>'2026 World Cup'!BL42</f>
        <v>Brazil</v>
      </c>
      <c r="N10" s="81">
        <f>IF('2026 World Cup'!$BM42="",NA(),'2026 World Cup'!$BM42)</f>
        <v>2</v>
      </c>
      <c r="O10" s="81">
        <f>IF('2026 World Cup'!$BM43="",NA(),'2026 World Cup'!$BM43)</f>
        <v>1</v>
      </c>
      <c r="P10" s="134" t="str">
        <f>'2026 World Cup'!BL43</f>
        <v>Japan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>
        <v>0</v>
      </c>
      <c r="G11" s="81">
        <v>0</v>
      </c>
      <c r="H11" s="134" t="str">
        <v>Curaçao</v>
      </c>
      <c r="I11" s="132" t="str">
        <v>Tunisia</v>
      </c>
      <c r="J11" s="81">
        <v>1</v>
      </c>
      <c r="K11" s="81">
        <v>3</v>
      </c>
      <c r="L11" s="134" t="str">
        <v>Netherlands</v>
      </c>
      <c r="M11" s="132" t="str">
        <f>'2026 World Cup'!BL46</f>
        <v>Ivory Coast</v>
      </c>
      <c r="N11" s="81">
        <f>IF('2026 World Cup'!$BM46="",NA(),'2026 World Cup'!$BM46)</f>
        <v>1</v>
      </c>
      <c r="O11" s="81">
        <f>IF('2026 World Cup'!$BM47="",NA(),'2026 World Cup'!$BM47)</f>
        <v>2</v>
      </c>
      <c r="P11" s="134" t="str">
        <f>'2026 World Cup'!BL47</f>
        <v>Norway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>
        <v>5</v>
      </c>
      <c r="G12" s="81">
        <v>1</v>
      </c>
      <c r="H12" s="134" t="str">
        <v>Sweden</v>
      </c>
      <c r="I12" s="132" t="str">
        <v>Turkey</v>
      </c>
      <c r="J12" s="81">
        <v>3</v>
      </c>
      <c r="K12" s="81">
        <v>2</v>
      </c>
      <c r="L12" s="134" t="str">
        <v>United States</v>
      </c>
      <c r="M12" s="132" t="str">
        <f>'2026 World Cup'!BL50</f>
        <v>Mexico</v>
      </c>
      <c r="N12" s="81">
        <f>IF('2026 World Cup'!$BM50="",NA(),'2026 World Cup'!$BM50)</f>
        <v>2</v>
      </c>
      <c r="O12" s="81">
        <f>IF('2026 World Cup'!$BM51="",NA(),'2026 World Cup'!$BM51)</f>
        <v>0</v>
      </c>
      <c r="P12" s="134" t="str">
        <f>'2026 World Cup'!BL51</f>
        <v>Ecuador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>
        <v>0</v>
      </c>
      <c r="G13" s="81">
        <v>4</v>
      </c>
      <c r="H13" s="134" t="str">
        <v>Japan</v>
      </c>
      <c r="I13" s="132" t="str">
        <v>Paraguay</v>
      </c>
      <c r="J13" s="81">
        <v>0</v>
      </c>
      <c r="K13" s="81">
        <v>0</v>
      </c>
      <c r="L13" s="134" t="str">
        <v>Australia</v>
      </c>
      <c r="M13" s="132" t="str">
        <f>'2026 World Cup'!BL54</f>
        <v>England</v>
      </c>
      <c r="N13" s="81">
        <f>IF('2026 World Cup'!$BM54="",NA(),'2026 World Cup'!$BM54)</f>
        <v>2</v>
      </c>
      <c r="O13" s="81">
        <f>IF('2026 World Cup'!$BM55="",NA(),'2026 World Cup'!$BM55)</f>
        <v>1</v>
      </c>
      <c r="P13" s="134" t="str">
        <f>'2026 World Cup'!BL55</f>
        <v>DR Congo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>
        <v>2</v>
      </c>
      <c r="G14" s="81">
        <v>2</v>
      </c>
      <c r="H14" s="134" t="str">
        <v>Cape Verde</v>
      </c>
      <c r="I14" s="132" t="str">
        <v>Norway</v>
      </c>
      <c r="J14" s="81">
        <v>1</v>
      </c>
      <c r="K14" s="81">
        <v>4</v>
      </c>
      <c r="L14" s="134" t="str">
        <v>France</v>
      </c>
      <c r="M14" s="132" t="str">
        <f>'2026 World Cup'!BL58</f>
        <v>Argentina</v>
      </c>
      <c r="N14" s="81">
        <f>IF('2026 World Cup'!$BM58="",NA(),'2026 World Cup'!$BM58)</f>
        <v>3</v>
      </c>
      <c r="O14" s="81">
        <f>IF('2026 World Cup'!$BM59="",NA(),'2026 World Cup'!$BM59)</f>
        <v>2</v>
      </c>
      <c r="P14" s="134" t="str">
        <f>'2026 World Cup'!BL59</f>
        <v>Cape Verde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>
        <v>4</v>
      </c>
      <c r="G15" s="81">
        <v>0</v>
      </c>
      <c r="H15" s="134" t="str">
        <v>Saudi Arabia</v>
      </c>
      <c r="I15" s="132" t="str">
        <v>Senegal</v>
      </c>
      <c r="J15" s="81">
        <v>5</v>
      </c>
      <c r="K15" s="81">
        <v>0</v>
      </c>
      <c r="L15" s="134" t="str">
        <v>Iraq</v>
      </c>
      <c r="M15" s="132" t="str">
        <f>'2026 World Cup'!BL62</f>
        <v>Australia</v>
      </c>
      <c r="N15" s="81">
        <f>IF('2026 World Cup'!$BM62="",NA(),'2026 World Cup'!$BM62)</f>
        <v>1</v>
      </c>
      <c r="O15" s="81">
        <f>IF('2026 World Cup'!$BM63="",NA(),'2026 World Cup'!$BM63)</f>
        <v>2</v>
      </c>
      <c r="P15" s="134" t="str">
        <f>'2026 World Cup'!BL63</f>
        <v>Egypt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>
        <v>0</v>
      </c>
      <c r="G16" s="81">
        <v>0</v>
      </c>
      <c r="H16" s="134" t="str">
        <v>Iran</v>
      </c>
      <c r="I16" s="132" t="str">
        <v>Egypt</v>
      </c>
      <c r="J16" s="81">
        <v>1</v>
      </c>
      <c r="K16" s="81">
        <v>1</v>
      </c>
      <c r="L16" s="134" t="str">
        <v>Iran</v>
      </c>
      <c r="M16" s="132" t="str">
        <f>'2026 World Cup'!BL66</f>
        <v>Switzerland</v>
      </c>
      <c r="N16" s="81">
        <f>IF('2026 World Cup'!$BM66="",NA(),'2026 World Cup'!$BM66)</f>
        <v>2</v>
      </c>
      <c r="O16" s="81">
        <f>IF('2026 World Cup'!$BM67="",NA(),'2026 World Cup'!$BM67)</f>
        <v>0</v>
      </c>
      <c r="P16" s="134" t="str">
        <f>'2026 World Cup'!BL67</f>
        <v>Algeria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>
        <v>1</v>
      </c>
      <c r="G17" s="81">
        <v>3</v>
      </c>
      <c r="H17" s="134" t="str">
        <v>Egypt</v>
      </c>
      <c r="I17" s="132" t="str">
        <v>New Zealand</v>
      </c>
      <c r="J17" s="81">
        <v>1</v>
      </c>
      <c r="K17" s="81">
        <v>5</v>
      </c>
      <c r="L17" s="134" t="str">
        <v>Belgium</v>
      </c>
      <c r="M17" s="135" t="str">
        <f>'2026 World Cup'!BL70</f>
        <v>Colombia</v>
      </c>
      <c r="N17" s="153">
        <f>IF('2026 World Cup'!$BM70="",NA(),'2026 World Cup'!$BM70)</f>
        <v>1</v>
      </c>
      <c r="O17" s="153">
        <f>IF('2026 World Cup'!$BM71="",NA(),'2026 World Cup'!$BM71)</f>
        <v>0</v>
      </c>
      <c r="P17" s="136" t="str">
        <f>'2026 World Cup'!BL71</f>
        <v>Ghana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>
        <v>3</v>
      </c>
      <c r="G18" s="81">
        <v>2</v>
      </c>
      <c r="H18" s="134" t="str">
        <v>Senegal</v>
      </c>
      <c r="I18" s="132" t="str">
        <v>Cape Verde</v>
      </c>
      <c r="J18" s="81">
        <v>0</v>
      </c>
      <c r="K18" s="81">
        <v>0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>
        <v>3</v>
      </c>
      <c r="G19" s="81">
        <v>0</v>
      </c>
      <c r="H19" s="134" t="str">
        <v>Iraq</v>
      </c>
      <c r="I19" s="132" t="str">
        <v>Uruguay</v>
      </c>
      <c r="J19" s="81">
        <v>0</v>
      </c>
      <c r="K19" s="81">
        <v>1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>
        <v>2</v>
      </c>
      <c r="G20" s="81">
        <v>0</v>
      </c>
      <c r="H20" s="134" t="str">
        <v>Austria</v>
      </c>
      <c r="I20" s="132" t="str">
        <v>Panama</v>
      </c>
      <c r="J20" s="81">
        <v>0</v>
      </c>
      <c r="K20" s="81">
        <v>2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>
        <v>1</v>
      </c>
      <c r="G21" s="81">
        <v>2</v>
      </c>
      <c r="H21" s="134" t="str">
        <v>Algeria</v>
      </c>
      <c r="I21" s="132" t="str">
        <v>Croatia</v>
      </c>
      <c r="J21" s="81">
        <v>2</v>
      </c>
      <c r="K21" s="81">
        <v>1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>
        <v>0</v>
      </c>
      <c r="G22" s="81">
        <v>0</v>
      </c>
      <c r="H22" s="134" t="str">
        <v>Ghana</v>
      </c>
      <c r="I22" s="132" t="str">
        <v>Algeria</v>
      </c>
      <c r="J22" s="81">
        <v>3</v>
      </c>
      <c r="K22" s="81">
        <v>3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>
        <v>0</v>
      </c>
      <c r="G23" s="81">
        <v>1</v>
      </c>
      <c r="H23" s="134" t="str">
        <v>Croatia</v>
      </c>
      <c r="I23" s="132" t="str">
        <v>Jordan</v>
      </c>
      <c r="J23" s="81">
        <v>1</v>
      </c>
      <c r="K23" s="81">
        <v>3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>
        <v>5</v>
      </c>
      <c r="G24" s="81">
        <v>0</v>
      </c>
      <c r="H24" s="134" t="str">
        <v>Uzbekistan</v>
      </c>
      <c r="I24" s="132" t="str">
        <v>Colombia</v>
      </c>
      <c r="J24" s="81">
        <v>0</v>
      </c>
      <c r="K24" s="81">
        <v>0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>
        <v>1</v>
      </c>
      <c r="G25" s="153">
        <v>0</v>
      </c>
      <c r="H25" s="136" t="str">
        <v>DR Congo</v>
      </c>
      <c r="I25" s="135" t="str">
        <v>DR Congo</v>
      </c>
      <c r="J25" s="153">
        <v>3</v>
      </c>
      <c r="K25" s="153">
        <v>1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opLeftCell="O15" zoomScale="112" zoomScaleNormal="100" workbookViewId="0">
      <selection activeCell="CH57" sqref="CH57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71" t="str" cm="1">
        <f t="array" ref="A1">INDEX(T,2,lang)</f>
        <v>2026 World Cup Final Tournament Schedule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72" t="str">
        <f>"Language: " &amp; Settings!C4</f>
        <v>Language: English</v>
      </c>
      <c r="P3" s="172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73" t="str" cm="1">
        <f t="array" ref="A5">INDEX(T,3,lang)</f>
        <v>Group Stage</v>
      </c>
      <c r="B5" s="174"/>
      <c r="C5" s="174"/>
      <c r="D5" s="174"/>
      <c r="E5" s="174"/>
      <c r="F5" s="174"/>
      <c r="G5" s="174"/>
      <c r="H5" s="175"/>
      <c r="J5" s="179" t="s">
        <v>3166</v>
      </c>
      <c r="K5" s="180"/>
      <c r="L5" s="180"/>
      <c r="M5" s="180"/>
      <c r="N5" s="180"/>
      <c r="O5" s="180"/>
      <c r="P5" s="181"/>
    </row>
    <row r="6" spans="1:95" ht="15" customHeight="1" x14ac:dyDescent="0.2">
      <c r="A6" s="176"/>
      <c r="B6" s="177"/>
      <c r="C6" s="177"/>
      <c r="D6" s="177"/>
      <c r="E6" s="177"/>
      <c r="F6" s="177"/>
      <c r="G6" s="177"/>
      <c r="H6" s="178"/>
      <c r="J6" s="182"/>
      <c r="K6" s="183"/>
      <c r="L6" s="183"/>
      <c r="M6" s="183"/>
      <c r="N6" s="183"/>
      <c r="O6" s="183"/>
      <c r="P6" s="184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65" t="s">
        <v>3179</v>
      </c>
      <c r="BL6" s="166"/>
      <c r="BM6" s="166"/>
      <c r="BN6" s="166"/>
      <c r="BO6" s="167"/>
      <c r="BR6" s="165" t="str" cm="1">
        <f t="array" ref="BR6">INDEX(T,4,lang)</f>
        <v>Round of 16</v>
      </c>
      <c r="BS6" s="166"/>
      <c r="BT6" s="166"/>
      <c r="BU6" s="166"/>
      <c r="BV6" s="167"/>
      <c r="BY6" s="165" t="str" cm="1">
        <f t="array" ref="BY6">INDEX(T,5,lang)</f>
        <v>Quarterfinals</v>
      </c>
      <c r="BZ6" s="166"/>
      <c r="CA6" s="166"/>
      <c r="CB6" s="166"/>
      <c r="CC6" s="167"/>
      <c r="CF6" s="165" t="str" cm="1">
        <f t="array" ref="CF6">INDEX(T,6,lang)</f>
        <v>Semi-Finals</v>
      </c>
      <c r="CG6" s="166"/>
      <c r="CH6" s="166"/>
      <c r="CI6" s="166"/>
      <c r="CJ6" s="167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68"/>
      <c r="BL7" s="169"/>
      <c r="BM7" s="169"/>
      <c r="BN7" s="169"/>
      <c r="BO7" s="170"/>
      <c r="BR7" s="168"/>
      <c r="BS7" s="169"/>
      <c r="BT7" s="169"/>
      <c r="BU7" s="169"/>
      <c r="BV7" s="170"/>
      <c r="BY7" s="168"/>
      <c r="BZ7" s="169"/>
      <c r="CA7" s="169"/>
      <c r="CB7" s="169"/>
      <c r="CC7" s="170"/>
      <c r="CF7" s="168"/>
      <c r="CG7" s="169"/>
      <c r="CH7" s="169"/>
      <c r="CI7" s="169"/>
      <c r="CJ7" s="170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63">
        <v>74</v>
      </c>
      <c r="BL10" s="24" t="str">
        <f>AS32</f>
        <v>Germany</v>
      </c>
      <c r="BM10" s="61">
        <v>1</v>
      </c>
      <c r="BN10" s="63"/>
      <c r="BO10" s="25"/>
      <c r="BP10" s="112">
        <f>IF(OR(BM10="",BM11="",AND(BN10="",BN11&lt;&gt;""),AND(BN11="",BN10&lt;&gt;""),AND(BO10="",BO11&lt;&gt;""),AND(BO11="",BO10&lt;&gt;"")),"",BM10*1000+BN10*10+BO10)</f>
        <v>1000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64"/>
      <c r="BL11" s="26" t="str">
        <f>IF(group_round_completed,VLOOKUP('3rd places'!G3,AK80:AS91,9,FALSE),"3rd Group A/B/C/D/F")</f>
        <v>Paraguay</v>
      </c>
      <c r="BM11" s="62">
        <v>2</v>
      </c>
      <c r="BN11" s="64"/>
      <c r="BO11" s="27"/>
      <c r="BP11" s="113">
        <f>IF(BP10="","",BM11*1000+BN11*10+BO11)</f>
        <v>2000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63">
        <v>89</v>
      </c>
      <c r="BS12" s="24" t="str">
        <f>IF(BP10&gt;BP11,BL10,IF(BP10&lt;BP11,BL11,""))</f>
        <v>Paraguay</v>
      </c>
      <c r="BT12" s="61">
        <v>0</v>
      </c>
      <c r="BU12" s="63"/>
      <c r="BV12" s="25"/>
      <c r="BW12" s="112">
        <f>IF(OR(BT12="",BT13="",AND(BU12="",BU13&lt;&gt;""),AND(BU13="",BU12&lt;&gt;""),AND(BV12="",BV13&lt;&gt;""),AND(BV13="",BV12&lt;&gt;"")),"",BT12*1000+BU12*10+BV12)</f>
        <v>0</v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64"/>
      <c r="BS13" s="26" t="str">
        <f>IF(BP14&gt;BP15,BL14,IF(BP14&lt;BP15,BL15,""))</f>
        <v>France</v>
      </c>
      <c r="BT13" s="62">
        <v>1</v>
      </c>
      <c r="BU13" s="64"/>
      <c r="BV13" s="27"/>
      <c r="BW13" s="113">
        <f>IF(BW12="","",BT13*1000+BU13*10+BV13)</f>
        <v>1000</v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63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64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63">
        <v>97</v>
      </c>
      <c r="BZ16" s="24" t="str">
        <f>IF(BW12&gt;BW13,BS12,IF(BW12&lt;BW13,BS13,""))</f>
        <v>France</v>
      </c>
      <c r="CA16" s="61">
        <v>2</v>
      </c>
      <c r="CB16" s="63"/>
      <c r="CC16" s="25"/>
      <c r="CD16" s="112">
        <f>IF(OR(CA16="",CA17="",AND(CB16="",CB17&lt;&gt;""),AND(CB17="",CB16&lt;&gt;""),AND(CC16="",CC17&lt;&gt;""),AND(CC17="",CC16&lt;&gt;"")),"",CA16*1000+CB16*10+CC16)</f>
        <v>2000</v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64"/>
      <c r="BZ17" s="26" t="str">
        <f>IF(BW20&gt;BW21,BS20,IF(BW20&lt;BW21,BS21,""))</f>
        <v>Morocco</v>
      </c>
      <c r="CA17" s="62">
        <v>0</v>
      </c>
      <c r="CB17" s="64"/>
      <c r="CC17" s="27"/>
      <c r="CD17" s="113">
        <f>IF(CD16="","",CA17*1000+CB17*10+CC17)</f>
        <v>0</v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63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64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63">
        <v>90</v>
      </c>
      <c r="BS20" s="24" t="str">
        <f>IF(BP18&gt;BP19,BL18,IF(BP18&lt;BP19,BL19,""))</f>
        <v>Canada</v>
      </c>
      <c r="BT20" s="61">
        <v>0</v>
      </c>
      <c r="BU20" s="63"/>
      <c r="BV20" s="25"/>
      <c r="BW20" s="116">
        <f>IF(OR(BT20="",BT21="",AND(BU20="",BU21&lt;&gt;""),AND(BU21="",BU20&lt;&gt;""),AND(BV20="",BV21&lt;&gt;""),AND(BV21="",BV20&lt;&gt;"")),"",BT20*1000+BU20*10+BV20)</f>
        <v>0</v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64"/>
      <c r="BS21" s="26" t="str">
        <f>IF(BP22&gt;BP23,BL22,IF(BP22&lt;BP23,BL23,""))</f>
        <v>Morocco</v>
      </c>
      <c r="BT21" s="62">
        <v>3</v>
      </c>
      <c r="BU21" s="64"/>
      <c r="BV21" s="27"/>
      <c r="BW21" s="112">
        <f>IF(BW20="","",BT21*1000+BU21*10+BV21)</f>
        <v>3000</v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63">
        <v>75</v>
      </c>
      <c r="BL22" s="24" t="str">
        <f>AS38</f>
        <v>Netherlands</v>
      </c>
      <c r="BM22" s="61">
        <v>1</v>
      </c>
      <c r="BN22" s="63"/>
      <c r="BO22" s="25"/>
      <c r="BP22" s="116">
        <f>IF(OR(BM22="",BM23="",AND(BN22="",BN23&lt;&gt;""),AND(BN23="",BN22&lt;&gt;""),AND(BO22="",BO23&lt;&gt;""),AND(BO23="",BO22&lt;&gt;"")),"",BM22*1000+BN22*10+BO22)</f>
        <v>1000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64"/>
      <c r="BL23" s="26" t="str">
        <f>AS21</f>
        <v>Morocco</v>
      </c>
      <c r="BM23" s="62">
        <v>2</v>
      </c>
      <c r="BN23" s="64"/>
      <c r="BO23" s="27"/>
      <c r="BP23" s="112">
        <f>IF(BP22="","",BM23*1000+BN23*10+BO23)</f>
        <v>2000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63">
        <v>101</v>
      </c>
      <c r="CG23" s="24" t="str">
        <f>IF(CD16&gt;CD17,BZ16,IF(CD16&lt;CD17,BZ17,""))</f>
        <v>France</v>
      </c>
      <c r="CH23" s="61">
        <v>0</v>
      </c>
      <c r="CI23" s="63"/>
      <c r="CJ23" s="25"/>
      <c r="CK23" s="112">
        <f>IF(OR(CH23="",CH24="",AND(CI23="",CI24&lt;&gt;""),AND(CI24="",CI23&lt;&gt;""),AND(CJ23="",CJ24&lt;&gt;""),AND(CJ24="",CJ23&lt;&gt;"")),"",CH23*1000+CI23*10+CJ23)</f>
        <v>0</v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64"/>
      <c r="CG24" s="26" t="str">
        <f>IF(CD32&gt;CD33,BZ32,IF(CD32&lt;CD33,BZ33,""))</f>
        <v>Spain</v>
      </c>
      <c r="CH24" s="62">
        <v>2</v>
      </c>
      <c r="CI24" s="64"/>
      <c r="CJ24" s="27"/>
      <c r="CK24" s="113">
        <f>IF(CK23="","",CH24*1000+CI24*10+CJ24)</f>
        <v>2000</v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63">
        <v>83</v>
      </c>
      <c r="BL26" s="24" t="str">
        <f>AS69</f>
        <v>Portugal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64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63">
        <v>93</v>
      </c>
      <c r="BS28" s="24" t="str">
        <f>IF(BP26&gt;BP27,BL26,IF(BP26&lt;BP27,BL27,""))</f>
        <v>Portugal</v>
      </c>
      <c r="BT28" s="61">
        <v>0</v>
      </c>
      <c r="BU28" s="63"/>
      <c r="BV28" s="25"/>
      <c r="BW28" s="112">
        <f>IF(OR(BT28="",BT29="",AND(BU28="",BU29&lt;&gt;""),AND(BU29="",BU28&lt;&gt;""),AND(BV28="",BV29&lt;&gt;""),AND(BV29="",BV28&lt;&gt;"")),"",BT28*1000+BU28*10+BV28)</f>
        <v>0</v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64"/>
      <c r="BS29" s="26" t="str">
        <f>IF(BP30&gt;BP31,BL30,IF(BP30&lt;BP31,BL31,""))</f>
        <v>Spain</v>
      </c>
      <c r="BT29" s="62">
        <v>1</v>
      </c>
      <c r="BU29" s="64"/>
      <c r="BV29" s="27"/>
      <c r="BW29" s="113">
        <f>IF(BW28="","",BT29*1000+BU29*10+BV29)</f>
        <v>1000</v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63">
        <v>84</v>
      </c>
      <c r="BL30" s="24" t="str">
        <f>AS50</f>
        <v>Spain</v>
      </c>
      <c r="BM30" s="61">
        <v>3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3000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>Czech Republic_draw</v>
      </c>
      <c r="T31" s="127" t="str">
        <f>IF(S31="","",IF(F31&lt;G31,H31&amp;"_win",IF(F31&gt;G31,H31&amp;"_lose",H31&amp;"_draw")))</f>
        <v>South Africa_draw</v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>
        <f>IF(OR(F31="",G31=""),"",IF(F31&gt;G31,1,IF(F31&lt;G31,-1,0)))</f>
        <v>0</v>
      </c>
      <c r="BK31" s="164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>Switzerland_win</v>
      </c>
      <c r="T32" s="127" t="str">
        <f>IF(S32="","",IF(F32&lt;G32,H32&amp;"_win",IF(F32&gt;G32,H32&amp;"_lose",H32&amp;"_draw")))</f>
        <v>Bosnia and Herzegovina_lose</v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>
        <f>IF(OR(F32="",G32=""),"",IF(F32&gt;G32,1,IF(F32&lt;G32,-1,0)))</f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63">
        <v>98</v>
      </c>
      <c r="BZ32" s="24" t="str">
        <f>IF(BW28&gt;BW29,BS28,IF(BW28&lt;BW29,BS29,""))</f>
        <v>Spain</v>
      </c>
      <c r="CA32" s="61">
        <v>2</v>
      </c>
      <c r="CB32" s="63"/>
      <c r="CC32" s="25"/>
      <c r="CD32" s="116">
        <f>IF(OR(CA32="",CA33="",AND(CB32="",CB33&lt;&gt;""),AND(CB33="",CB32&lt;&gt;""),AND(CC32="",CC33&lt;&gt;""),AND(CC33="",CC32&lt;&gt;"")),"",CA32*1000+CB32*10+CC32)</f>
        <v>2000</v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64"/>
      <c r="BZ33" s="26" t="str">
        <f>IF(BW36&gt;BW37,BS36,IF(BW36&lt;BW37,BS37,""))</f>
        <v>Belgium</v>
      </c>
      <c r="CA33" s="62">
        <v>1</v>
      </c>
      <c r="CB33" s="64"/>
      <c r="CC33" s="27"/>
      <c r="CD33" s="112">
        <f>IF(CD32="","",CA33*1000+CB33*10+CC33)</f>
        <v>1000</v>
      </c>
      <c r="CE33" s="112"/>
      <c r="CK33" s="114"/>
      <c r="CL33" s="112"/>
      <c r="CM33" s="165" t="str" cm="1">
        <f t="array" ref="CM33">INDEX(T,8,lang)</f>
        <v>Final</v>
      </c>
      <c r="CN33" s="166"/>
      <c r="CO33" s="166"/>
      <c r="CP33" s="166"/>
      <c r="CQ33" s="167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63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68"/>
      <c r="CN34" s="169"/>
      <c r="CO34" s="169"/>
      <c r="CP34" s="169"/>
      <c r="CQ34" s="170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64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63">
        <v>94</v>
      </c>
      <c r="BS36" s="24" t="str">
        <f>IF(BP34&gt;BP35,BL34,IF(BP34&lt;BP35,BL35,""))</f>
        <v>United States</v>
      </c>
      <c r="BT36" s="61">
        <v>1</v>
      </c>
      <c r="BU36" s="63"/>
      <c r="BV36" s="25"/>
      <c r="BW36" s="116">
        <f>IF(OR(BT36="",BT37="",AND(BU36="",BU37&lt;&gt;""),AND(BU37="",BU36&lt;&gt;""),AND(BV36="",BV37&lt;&gt;""),AND(BV37="",BV36&lt;&gt;"")),"",BT36*1000+BU36*10+BV36)</f>
        <v>1000</v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64"/>
      <c r="BS37" s="26" t="str">
        <f>IF(BP38&gt;BP39,BL38,IF(BP38&lt;BP39,BL39,""))</f>
        <v>Belgium</v>
      </c>
      <c r="BT37" s="62">
        <v>4</v>
      </c>
      <c r="BU37" s="64"/>
      <c r="BV37" s="27"/>
      <c r="BW37" s="112">
        <f>IF(BW36="","",BT37*1000+BU37*10+BV37)</f>
        <v>4000</v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63">
        <v>104</v>
      </c>
      <c r="CN37" s="24" t="str">
        <f>IF(CK23&gt;CK24,CG23,IF(CK23&lt;CK24,CG24,""))</f>
        <v>Spain</v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63">
        <v>82</v>
      </c>
      <c r="BL38" s="24" t="str">
        <f>AS44</f>
        <v>Belgium</v>
      </c>
      <c r="BM38" s="61">
        <v>3</v>
      </c>
      <c r="BN38" s="63"/>
      <c r="BO38" s="25"/>
      <c r="BP38" s="116">
        <f>IF(OR(BM38="",BM39="",AND(BN38="",BN39&lt;&gt;""),AND(BN39="",BN38&lt;&gt;""),AND(BO38="",BO39&lt;&gt;""),AND(BO39="",BO38&lt;&gt;"")),"",BM38*1000+BN38*10+BO38)</f>
        <v>3000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64"/>
      <c r="CN38" s="26" t="str">
        <f>IF(CK55&gt;CK56,CG55,IF(CK55&lt;CK56,CG56,""))</f>
        <v>Argentina</v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64"/>
      <c r="BL39" s="26" t="str">
        <f>IF(group_round_completed,VLOOKUP('3rd places'!H3,AK80:AS91,9,FALSE),"3rd Group A/E/H/I/J")</f>
        <v>Senegal</v>
      </c>
      <c r="BM39" s="62">
        <v>2</v>
      </c>
      <c r="BN39" s="64"/>
      <c r="BO39" s="27"/>
      <c r="BP39" s="112">
        <f>IF(BP38="","",BM39*1000+BN39*10+BO39)</f>
        <v>2000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63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64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63">
        <v>91</v>
      </c>
      <c r="BS44" s="24" t="str">
        <f>IF(BP42&gt;BP43,BL42,IF(BP42&lt;BP43,BL43,""))</f>
        <v>Brazil</v>
      </c>
      <c r="BT44" s="61">
        <v>1</v>
      </c>
      <c r="BU44" s="63"/>
      <c r="BV44" s="25"/>
      <c r="BW44" s="112">
        <f>IF(OR(BT44="",BT45="",AND(BU44="",BU45&lt;&gt;""),AND(BU45="",BU44&lt;&gt;""),AND(BV44="",BV45&lt;&gt;""),AND(BV45="",BV44&lt;&gt;"")),"",BT44*1000+BU44*10+BV44)</f>
        <v>1000</v>
      </c>
      <c r="CK44" s="114"/>
      <c r="CM44" s="165" t="str" cm="1">
        <f t="array" ref="CM44">INDEX(T,7,lang)</f>
        <v>Third-Place Play-Off</v>
      </c>
      <c r="CN44" s="166"/>
      <c r="CO44" s="166"/>
      <c r="CP44" s="166"/>
      <c r="CQ44" s="167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64"/>
      <c r="BS45" s="26" t="str">
        <f>IF(BP46&gt;BP47,BL46,IF(BP46&lt;BP47,BL47,""))</f>
        <v>Norway</v>
      </c>
      <c r="BT45" s="62">
        <v>2</v>
      </c>
      <c r="BU45" s="64"/>
      <c r="BV45" s="27"/>
      <c r="BW45" s="113">
        <f>IF(BW44="","",BT45*1000+BU45*10+BV45)</f>
        <v>2000</v>
      </c>
      <c r="CK45" s="114"/>
      <c r="CM45" s="168"/>
      <c r="CN45" s="169"/>
      <c r="CO45" s="169"/>
      <c r="CP45" s="169"/>
      <c r="CQ45" s="170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63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64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63">
        <v>99</v>
      </c>
      <c r="BZ48" s="24" t="str">
        <f>IF(BW44&gt;BW45,BS44,IF(BW44&lt;BW45,BS45,""))</f>
        <v>Norway</v>
      </c>
      <c r="CA48" s="61">
        <v>1</v>
      </c>
      <c r="CB48" s="63"/>
      <c r="CC48" s="25"/>
      <c r="CD48" s="112">
        <f>IF(OR(CA48="",CA49="",AND(CB48="",CB49&lt;&gt;""),AND(CB49="",CB48&lt;&gt;""),AND(CC48="",CC49&lt;&gt;""),AND(CC49="",CC48&lt;&gt;"")),"",CA48*1000+CB48*10+CC48)</f>
        <v>1000</v>
      </c>
      <c r="CK48" s="114"/>
      <c r="CL48" s="112"/>
      <c r="CM48" s="163">
        <v>103</v>
      </c>
      <c r="CN48" s="24" t="str">
        <f>IF(CK23&gt;CK24,CG24,IF(CK23&lt;CK24,CG23,""))</f>
        <v>France</v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64"/>
      <c r="BZ49" s="26" t="str">
        <f>IF(BW52&gt;BW53,BS52,IF(BW52&lt;BW53,BS53,""))</f>
        <v>England</v>
      </c>
      <c r="CA49" s="62">
        <v>2</v>
      </c>
      <c r="CB49" s="64"/>
      <c r="CC49" s="27"/>
      <c r="CD49" s="113">
        <f>IF(CD48="","",CA49*1000+CB49*10+CC49)</f>
        <v>2000</v>
      </c>
      <c r="CK49" s="114"/>
      <c r="CL49" s="115"/>
      <c r="CM49" s="164"/>
      <c r="CN49" s="26" t="str">
        <f>IF(CK55&gt;CK56,CG56,IF(CK55&lt;CK56,CG55,""))</f>
        <v>England</v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63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64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63">
        <v>92</v>
      </c>
      <c r="BS52" s="24" t="str">
        <f>IF(BP50&gt;BP51,BL50,IF(BP50&lt;BP51,BL51,""))</f>
        <v>Mexico</v>
      </c>
      <c r="BT52" s="61">
        <v>2</v>
      </c>
      <c r="BU52" s="63"/>
      <c r="BV52" s="25"/>
      <c r="BW52" s="116">
        <f>IF(OR(BT52="",BT53="",AND(BU52="",BU53&lt;&gt;""),AND(BU53="",BU52&lt;&gt;""),AND(BV52="",BV53&lt;&gt;""),AND(BV53="",BV52&lt;&gt;"")),"",BT52*1000+BU52*10+BV52)</f>
        <v>2000</v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64"/>
      <c r="BS53" s="26" t="str">
        <f>IF(BP54&gt;BP55,BL54,IF(BP54&lt;BP55,BL55,""))</f>
        <v>England</v>
      </c>
      <c r="BT53" s="62">
        <v>3</v>
      </c>
      <c r="BU53" s="64"/>
      <c r="BV53" s="27"/>
      <c r="BW53" s="112">
        <f>IF(BW52="","",BT53*1000+BU53*10+BV53)</f>
        <v>3000</v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63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64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63">
        <v>102</v>
      </c>
      <c r="CG55" s="24" t="str">
        <f>IF(CD48&gt;CD49,BZ48,IF(CD48&lt;CD49,BZ49,""))</f>
        <v>England</v>
      </c>
      <c r="CH55" s="61">
        <v>1</v>
      </c>
      <c r="CI55" s="63"/>
      <c r="CJ55" s="25"/>
      <c r="CK55" s="116">
        <f>IF(OR(CH55="",CH56="",AND(CI55="",CI56&lt;&gt;""),AND(CI56="",CI55&lt;&gt;""),AND(CJ55="",CJ56&lt;&gt;""),AND(CJ56="",CJ55&lt;&gt;"")),"",CH55*1000+CI55*10+CJ55)</f>
        <v>1000</v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64"/>
      <c r="CG56" s="26" t="str">
        <f>IF(CD64&gt;CD65,BZ64,IF(CD64&lt;CD65,BZ65,""))</f>
        <v>Argentina</v>
      </c>
      <c r="CH56" s="62">
        <v>2</v>
      </c>
      <c r="CI56" s="64"/>
      <c r="CJ56" s="27"/>
      <c r="CK56" s="112">
        <f>IF(CK55="","",CH56*1000+CI56*10+CJ56)</f>
        <v>2000</v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63">
        <v>86</v>
      </c>
      <c r="BL58" s="24" t="str">
        <f>AS62</f>
        <v>Argentina</v>
      </c>
      <c r="BM58" s="61">
        <v>3</v>
      </c>
      <c r="BN58" s="63"/>
      <c r="BO58" s="25"/>
      <c r="BP58" s="112">
        <f>IF(OR(BM58="",BM59="",AND(BN58="",BN59&lt;&gt;""),AND(BN59="",BN58&lt;&gt;""),AND(BO58="",BO59&lt;&gt;""),AND(BO59="",BO58&lt;&gt;"")),"",BM58*1000+BN58*10+BO58)</f>
        <v>3000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64"/>
      <c r="BL59" s="26" t="str">
        <f>AS51</f>
        <v>Cape Verde</v>
      </c>
      <c r="BM59" s="62">
        <v>2</v>
      </c>
      <c r="BN59" s="64"/>
      <c r="BO59" s="27"/>
      <c r="BP59" s="113">
        <f>IF(BP58="","",BM59*1000+BN59*10+BO59)</f>
        <v>2000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63">
        <v>95</v>
      </c>
      <c r="BS60" s="24" t="str">
        <f>IF(BP58&gt;BP59,BL58,IF(BP58&lt;BP59,BL59,""))</f>
        <v>Argentina</v>
      </c>
      <c r="BT60" s="61">
        <v>3</v>
      </c>
      <c r="BU60" s="63"/>
      <c r="BV60" s="25"/>
      <c r="BW60" s="112">
        <f>IF(OR(BT60="",BT61="",AND(BU60="",BU61&lt;&gt;""),AND(BU61="",BU60&lt;&gt;""),AND(BV60="",BV61&lt;&gt;""),AND(BV61="",BV60&lt;&gt;"")),"",BT60*1000+BU60*10+BV60)</f>
        <v>3000</v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64"/>
      <c r="BS61" s="26" t="str">
        <f>IF(BP62&gt;BP63,BL62,IF(BP62&lt;BP63,BL63,""))</f>
        <v>Egypt</v>
      </c>
      <c r="BT61" s="62">
        <v>2</v>
      </c>
      <c r="BU61" s="64"/>
      <c r="BV61" s="27"/>
      <c r="BW61" s="113">
        <f>IF(BW60="","",BT61*1000+BU61*10+BV61)</f>
        <v>2000</v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63">
        <v>88</v>
      </c>
      <c r="BL62" s="24" t="str">
        <f>AS27</f>
        <v>Australia</v>
      </c>
      <c r="BM62" s="61">
        <v>1</v>
      </c>
      <c r="BN62" s="63"/>
      <c r="BO62" s="25"/>
      <c r="BP62" s="116">
        <f>IF(OR(BM62="",BM63="",AND(BN62="",BN63&lt;&gt;""),AND(BN63="",BN62&lt;&gt;""),AND(BO62="",BO63&lt;&gt;""),AND(BO63="",BO62&lt;&gt;"")),"",BM62*1000+BN62*10+BO62)</f>
        <v>1000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64"/>
      <c r="BL63" s="26" t="str">
        <f>AS45</f>
        <v>Egypt</v>
      </c>
      <c r="BM63" s="62">
        <v>2</v>
      </c>
      <c r="BN63" s="64"/>
      <c r="BO63" s="27"/>
      <c r="BP63" s="112">
        <f>IF(BP62="","",BM63*1000+BN63*10+BO63)</f>
        <v>2000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63">
        <v>100</v>
      </c>
      <c r="BZ64" s="24" t="str">
        <f>IF(BW60&gt;BW61,BS60,IF(BW60&lt;BW61,BS61,""))</f>
        <v>Argentina</v>
      </c>
      <c r="CA64" s="61">
        <v>3</v>
      </c>
      <c r="CB64" s="63"/>
      <c r="CC64" s="25"/>
      <c r="CD64" s="116">
        <f>IF(OR(CA64="",CA65="",AND(CB64="",CB65&lt;&gt;""),AND(CB65="",CB64&lt;&gt;""),AND(CC64="",CC65&lt;&gt;""),AND(CC65="",CC64&lt;&gt;"")),"",CA64*1000+CB64*10+CC64)</f>
        <v>3000</v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64"/>
      <c r="BZ65" s="26" t="str">
        <f>IF(BW68&gt;BW69,BS68,IF(BW68&lt;BW69,BS69,""))</f>
        <v>Switzerland</v>
      </c>
      <c r="CA65" s="62">
        <v>1</v>
      </c>
      <c r="CB65" s="64"/>
      <c r="CC65" s="27"/>
      <c r="CD65" s="112">
        <f>IF(CD64="","",CA65*1000+CB65*10+CC65)</f>
        <v>1000</v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63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64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63">
        <v>96</v>
      </c>
      <c r="BS68" s="24" t="str">
        <f>IF(BP66&gt;BP67,BL66,IF(BP66&lt;BP67,BL67,""))</f>
        <v>Switzerland</v>
      </c>
      <c r="BT68" s="61">
        <v>1</v>
      </c>
      <c r="BU68" s="63"/>
      <c r="BV68" s="25"/>
      <c r="BW68" s="116">
        <f>IF(OR(BT68="",BT69="",AND(BU68="",BU69&lt;&gt;""),AND(BU69="",BU68&lt;&gt;""),AND(BV68="",BV69&lt;&gt;""),AND(BV69="",BV68&lt;&gt;"")),"",BT68*1000+BU68*10+BV68)</f>
        <v>1000</v>
      </c>
      <c r="CE68" s="195" t="str">
        <f>INDEX(T,144,lang)</f>
        <v>World Champion 2026</v>
      </c>
      <c r="CF68" s="195"/>
      <c r="CG68" s="195"/>
      <c r="CH68" s="195"/>
      <c r="CI68" s="195"/>
      <c r="CJ68" s="195"/>
      <c r="CK68" s="185" t="str">
        <f>IF(CR37&gt;CR38,CN37,IF(CR37&lt;CR38,CN38,""))</f>
        <v/>
      </c>
      <c r="CL68" s="185"/>
      <c r="CM68" s="185"/>
      <c r="CN68" s="185"/>
      <c r="CO68" s="185"/>
      <c r="CP68" s="185"/>
      <c r="CQ68" s="185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64"/>
      <c r="BS69" s="26" t="str">
        <f>IF(BP70&gt;BP71,BL70,IF(BP70&lt;BP71,BL71,""))</f>
        <v>Colombia</v>
      </c>
      <c r="BT69" s="62">
        <v>0</v>
      </c>
      <c r="BU69" s="64"/>
      <c r="BV69" s="27"/>
      <c r="BW69" s="112">
        <f>IF(BW68="","",BT69*1000+BU69*10+BV69)</f>
        <v>0</v>
      </c>
      <c r="CE69" s="195"/>
      <c r="CF69" s="195"/>
      <c r="CG69" s="195"/>
      <c r="CH69" s="195"/>
      <c r="CI69" s="195"/>
      <c r="CJ69" s="195"/>
      <c r="CK69" s="185"/>
      <c r="CL69" s="185"/>
      <c r="CM69" s="185"/>
      <c r="CN69" s="185"/>
      <c r="CO69" s="185"/>
      <c r="CP69" s="185"/>
      <c r="CQ69" s="185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63">
        <v>87</v>
      </c>
      <c r="BL70" s="24" t="str">
        <f>AS68</f>
        <v>Colombia</v>
      </c>
      <c r="BM70" s="61">
        <v>1</v>
      </c>
      <c r="BN70" s="63"/>
      <c r="BO70" s="25"/>
      <c r="BP70" s="116">
        <f>IF(OR(BM70="",BM71="",AND(BN70="",BN71&lt;&gt;""),AND(BN71="",BN70&lt;&gt;""),AND(BO70="",BO71&lt;&gt;""),AND(BO71="",BO70&lt;&gt;"")),"",BM70*1000+BN70*10+BO70)</f>
        <v>1000</v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64"/>
      <c r="BL71" s="26" t="str">
        <f>IF(group_round_completed,VLOOKUP('3rd places'!J3,AK80:AS91,9,FALSE),"3rd Group D/E/I/J/L")</f>
        <v>Ghana</v>
      </c>
      <c r="BM71" s="62">
        <v>0</v>
      </c>
      <c r="BN71" s="64"/>
      <c r="BO71" s="27"/>
      <c r="BP71" s="112">
        <f>IF(BP70="","",BM71*1000+BN71*10+BO71)</f>
        <v>0</v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86" t="s">
        <v>3183</v>
      </c>
      <c r="D83" s="187"/>
      <c r="E83" s="187"/>
      <c r="F83" s="187"/>
      <c r="G83" s="188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89"/>
      <c r="D84" s="190"/>
      <c r="E84" s="190"/>
      <c r="F84" s="190"/>
      <c r="G84" s="191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89"/>
      <c r="D85" s="190"/>
      <c r="E85" s="190"/>
      <c r="F85" s="190"/>
      <c r="G85" s="191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89"/>
      <c r="D86" s="190"/>
      <c r="E86" s="190"/>
      <c r="F86" s="190"/>
      <c r="G86" s="191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127" t="str" cm="1">
        <f t="array" ref="T86">IF(OR(S86="",S86="draw"),INDEX(T,88,lang),S86)</f>
        <v>Portugal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89"/>
      <c r="D87" s="190"/>
      <c r="E87" s="190"/>
      <c r="F87" s="190"/>
      <c r="G87" s="191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92"/>
      <c r="D88" s="193"/>
      <c r="E88" s="193"/>
      <c r="F88" s="193"/>
      <c r="G88" s="194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127" t="str" cm="1">
        <f t="array" ref="T95">IF(OR(S95="",S95="draw"),INDEX(T,94,lang),S95)</f>
        <v>France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127" t="str" cm="1">
        <f t="array" ref="T96">IF(OR(S96="",S96="draw"),INDEX(T,95,lang),S96)</f>
        <v>Morocco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127" t="str" cm="1">
        <f t="array" ref="T97">IF(OR(S97="",S97="draw"),INDEX(T,96,lang),S97)</f>
        <v>Spain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127" t="str" cm="1">
        <f t="array" ref="T98">IF(OR(S98="",S98="draw"),INDEX(T,97,lang),S98)</f>
        <v>Belgium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127" t="str" cm="1">
        <f t="array" ref="T102">IF(OR(S102="",S102="draw"),INDEX(T,98,lang),S102)</f>
        <v>France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t="str" cm="1">
        <f t="array" ref="AC102">IF(OR(U102="",U102="draw"),INDEX(T,100,lang),U102)</f>
        <v>Morocco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127" t="str" cm="1">
        <f t="array" ref="T103">IF(OR(S103="",S103="draw"),INDEX(T,99,lang),S103)</f>
        <v>Spain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t="str" cm="1">
        <f t="array" ref="AC103">IF(OR(U103="",U103="draw"),INDEX(T,101,lang),U103)</f>
        <v>Belgium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>Spain</v>
      </c>
      <c r="T111" s="127" t="str">
        <f>S111</f>
        <v>Spain</v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2026-07-15T22:17:28Z</dcterms:modified>
  <cp:category>Sports</cp:category>
  <cp:contentStatus/>
</cp:coreProperties>
</file>