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E563C63E-6689-6045-B8E5-33FA7CF8C24B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G3" i="5" l="1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S54" i="3"/>
  <c r="S77" i="3"/>
  <c r="S50" i="3"/>
  <c r="S76" i="3"/>
  <c r="S47" i="3"/>
  <c r="S67" i="3"/>
  <c r="S72" i="3"/>
  <c r="S70" i="3"/>
  <c r="S42" i="3"/>
  <c r="S64" i="3"/>
  <c r="S40" i="3"/>
  <c r="S62" i="3"/>
  <c r="T61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0" i="3"/>
  <c r="AR9" i="3"/>
  <c r="AR34" i="3"/>
  <c r="AR33" i="3"/>
  <c r="AR71" i="3"/>
  <c r="AR35" i="3" l="1"/>
  <c r="AR11" i="3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9" i="3"/>
  <c r="AD8" i="3"/>
  <c r="AD10" i="3"/>
  <c r="AD11" i="3"/>
  <c r="AD26" i="3" l="1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N69" i="3" l="1"/>
  <c r="P59" i="3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<sst xmlns="http://schemas.openxmlformats.org/spreadsheetml/2006/main" count="9891" uniqueCount="3715">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</sst>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L14" sqref="L1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str">
        <f>IFERROR(_xlfn.XLOOKUP(J3,Rounds!I$2:I$25,Rounds!L$2:L$25), _xlfn.XLOOKUP(J3,Rounds!L$2:L$25,Rounds!I$2:I$25))</f>
        <v>Curaçao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str">
        <f>IFERROR(_xlfn.XLOOKUP(J4,Rounds!I$2:I$25,Rounds!L$2:L$25), _xlfn.XLOOKUP(J4,Rounds!L$2:L$25,Rounds!I$2:I$25))</f>
        <v>Haiti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str">
        <f>IFERROR(_xlfn.XLOOKUP(J5,Rounds!I$2:I$25,Rounds!L$2:L$25), _xlfn.XLOOKUP(J5,Rounds!L$2:L$25,Rounds!I$2:I$25))</f>
        <v>Czech Republic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str">
        <f>IFERROR(_xlfn.XLOOKUP(J6,Rounds!I$2:I$25,Rounds!L$2:L$25), _xlfn.XLOOKUP(J6,Rounds!L$2:L$25,Rounds!I$2:I$25))</f>
        <v>Curaçao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str">
        <f>IFERROR(_xlfn.XLOOKUP(J7,Rounds!I$2:I$25,Rounds!L$2:L$25), _xlfn.XLOOKUP(J7,Rounds!L$2:L$25,Rounds!I$2:I$25))</f>
        <v>Qatar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str">
        <f>IFERROR(_xlfn.XLOOKUP(J8,Rounds!I$2:I$25,Rounds!L$2:L$25), _xlfn.XLOOKUP(J8,Rounds!L$2:L$25,Rounds!I$2:I$25))</f>
        <v>Haiti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A17" zoomScale="112" zoomScaleNormal="100" workbookViewId="0">
      <selection activeCell="G55" sqref="G55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7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7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7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7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7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7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1</v>
      </c>
      <c r="V31" s="123">
        <f>U31*F31</f>
        <v>1</v>
      </c>
      <c r="W31" s="123">
        <f t="shared" si="4"/>
        <v>1</v>
      </c>
      <c r="X31" s="123">
        <f t="shared" si="9"/>
        <v>1</v>
      </c>
      <c r="Y31" s="123">
        <f>X31*F31</f>
        <v>1</v>
      </c>
      <c r="Z31" s="123">
        <f t="shared" si="11"/>
        <v>1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7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7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7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7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7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7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7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7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7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7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7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7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11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Ⓛ Croatia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3 - 4</v>
      </c>
      <c r="P83" s="101">
        <f t="shared" si="48"/>
        <v>3</v>
      </c>
      <c r="AD83" s="123">
        <f t="shared" si="38"/>
        <v>5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Ⓙ Algeria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10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Ⓓ Paraguay</v>
      </c>
      <c r="K85" s="100">
        <f t="shared" si="47"/>
        <v>2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1</v>
      </c>
      <c r="O85" s="100" t="str">
        <f>VLOOKUP(5,$AD$80:$AN$91,6,FALSE) &amp; " - " &amp; VLOOKUP(5,$AD$80:$AN$91,7,FALSE)</f>
        <v>2 - 4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Ⓗ Cape Verde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2</v>
      </c>
      <c r="N86" s="100">
        <f>VLOOKUP(6,$AD$80:$AN$91,5,FALSE)</f>
        <v>0</v>
      </c>
      <c r="O86" s="100" t="str">
        <f>VLOOKUP(6,$AD$80:$AN$91,6,FALSE) &amp; " - " &amp; VLOOKUP(6,$AD$80:$AN$91,7,FALSE)</f>
        <v>2 - 2</v>
      </c>
      <c r="P86" s="101">
        <f t="shared" si="48"/>
        <v>2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7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Ⓖ Belgium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2</v>
      </c>
      <c r="N87" s="100">
        <f>VLOOKUP(7,$AD$80:$AN$91,5,FALSE)</f>
        <v>0</v>
      </c>
      <c r="O87" s="100" t="str">
        <f>VLOOKUP(7,$AD$80:$AN$91,6,FALSE) &amp; " - " &amp; VLOOKUP(7,$AD$80:$AN$91,7,FALSE)</f>
        <v>1 - 1</v>
      </c>
      <c r="P87" s="101">
        <f t="shared" si="48"/>
        <v>2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6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Ⓐ Czech Republic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2 - 3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1 - 2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4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7778.572210701428</v>
      </c>
      <c r="AQ89" s="126">
        <f t="shared" si="37"/>
        <v>1564.26</v>
      </c>
      <c r="AR89" s="125" t="str">
        <f t="shared" si="50"/>
        <v>ACDFGHJ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Ⓔ Ecuador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3014.2864534607143</v>
      </c>
      <c r="AQ90" s="126">
        <f t="shared" si="37"/>
        <v>1478.35</v>
      </c>
      <c r="AR90" s="125" t="str">
        <f t="shared" si="50"/>
        <v>ACDFGHJ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Ⓑ Bosnia and Herzegovina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1</v>
      </c>
      <c r="N91" s="103">
        <f>VLOOKUP(11,$AD$80:$AN$91,5,FALSE)</f>
        <v>1</v>
      </c>
      <c r="O91" s="103" t="str">
        <f>VLOOKUP(11,$AD$80:$AN$91,6,FALSE) &amp; " - " &amp; VLOOKUP(11,$AD$80:$AN$91,7,FALSE)</f>
        <v>2 - 5</v>
      </c>
      <c r="P91" s="104">
        <f t="shared" si="48"/>
        <v>1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3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8042.8580013921428</v>
      </c>
      <c r="AQ91" s="126">
        <f t="shared" si="37"/>
        <v>1717.07</v>
      </c>
      <c r="AR91" s="125" t="str">
        <f t="shared" si="50"/>
        <v>ACDFGHJL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246</v>
      </c>
      <c r="C3" s="121" t="str">
        <f>'2026 World Cup'!AR91</f>
        <v>ACDFGHJL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3H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2026-06-24T03:51:02Z</dcterms:modified>
  <cp:category>Sports</cp:category>
  <cp:contentStatus/>
</cp:coreProperties>
</file>